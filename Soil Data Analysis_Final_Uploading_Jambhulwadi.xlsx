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03e590dc7643172/SOIL/"/>
    </mc:Choice>
  </mc:AlternateContent>
  <xr:revisionPtr revIDLastSave="558" documentId="13_ncr:1_{02F25F73-02A9-4EDC-8CF5-C542A52A061C}" xr6:coauthVersionLast="47" xr6:coauthVersionMax="47" xr10:uidLastSave="{B9AAD60D-611A-45F2-8315-6EA4C95E3B7B}"/>
  <bookViews>
    <workbookView xWindow="-110" yWindow="-110" windowWidth="19420" windowHeight="10300" activeTab="4" xr2:uid="{00000000-000D-0000-FFFF-FFFF00000000}"/>
  </bookViews>
  <sheets>
    <sheet name="Multiplication factors" sheetId="1" r:id="rId1"/>
    <sheet name="pH &amp; EC" sheetId="2" r:id="rId2"/>
    <sheet name="NPK" sheetId="6" r:id="rId3"/>
    <sheet name="OC, B, S" sheetId="7" r:id="rId4"/>
    <sheet name="Microelements" sheetId="10" r:id="rId5"/>
    <sheet name="cumulative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0" l="1"/>
  <c r="C4" i="7"/>
  <c r="C5" i="7"/>
  <c r="C6" i="7"/>
  <c r="C7" i="7"/>
  <c r="C8" i="7"/>
  <c r="C9" i="7"/>
  <c r="C10" i="7"/>
  <c r="D10" i="7" s="1"/>
  <c r="C11" i="7"/>
  <c r="C12" i="7"/>
  <c r="C13" i="7"/>
  <c r="C14" i="7"/>
  <c r="C15" i="7"/>
  <c r="D15" i="7" s="1"/>
  <c r="C16" i="7"/>
  <c r="C17" i="7"/>
  <c r="C18" i="7"/>
  <c r="C19" i="7"/>
  <c r="C20" i="7"/>
  <c r="C21" i="7"/>
  <c r="C22" i="7"/>
  <c r="C23" i="7"/>
  <c r="D23" i="7" s="1"/>
  <c r="C24" i="7"/>
  <c r="C25" i="7"/>
  <c r="C26" i="7"/>
  <c r="C27" i="7"/>
  <c r="C28" i="7"/>
  <c r="C29" i="7"/>
  <c r="C30" i="7"/>
  <c r="C31" i="7"/>
  <c r="D31" i="7" s="1"/>
  <c r="C32" i="7"/>
  <c r="C33" i="7"/>
  <c r="C34" i="7"/>
  <c r="C35" i="7"/>
  <c r="C36" i="7"/>
  <c r="C37" i="7"/>
  <c r="C38" i="7"/>
  <c r="C39" i="7"/>
  <c r="D39" i="7" s="1"/>
  <c r="C40" i="7"/>
  <c r="C41" i="7"/>
  <c r="C42" i="7"/>
  <c r="C43" i="7"/>
  <c r="C44" i="7"/>
  <c r="C45" i="7"/>
  <c r="C46" i="7"/>
  <c r="C47" i="7"/>
  <c r="D47" i="7" s="1"/>
  <c r="C48" i="7"/>
  <c r="C49" i="7"/>
  <c r="C50" i="7"/>
  <c r="C51" i="7"/>
  <c r="C52" i="7"/>
  <c r="C53" i="7"/>
  <c r="C54" i="7"/>
  <c r="C55" i="7"/>
  <c r="D55" i="7" s="1"/>
  <c r="C56" i="7"/>
  <c r="C57" i="7"/>
  <c r="C58" i="7"/>
  <c r="D58" i="7" s="1"/>
  <c r="C59" i="7"/>
  <c r="C60" i="7"/>
  <c r="C61" i="7"/>
  <c r="D61" i="7" s="1"/>
  <c r="C62" i="7"/>
  <c r="C63" i="7"/>
  <c r="D63" i="7" s="1"/>
  <c r="C64" i="7"/>
  <c r="C65" i="7"/>
  <c r="C66" i="7"/>
  <c r="D66" i="7" s="1"/>
  <c r="C67" i="7"/>
  <c r="C68" i="7"/>
  <c r="C69" i="7"/>
  <c r="D69" i="7" s="1"/>
  <c r="C70" i="7"/>
  <c r="C71" i="7"/>
  <c r="D71" i="7" s="1"/>
  <c r="C72" i="7"/>
  <c r="C73" i="7"/>
  <c r="C74" i="7"/>
  <c r="D74" i="7" s="1"/>
  <c r="C75" i="7"/>
  <c r="C76" i="7"/>
  <c r="C77" i="7"/>
  <c r="D77" i="7" s="1"/>
  <c r="C78" i="7"/>
  <c r="C79" i="7"/>
  <c r="C80" i="7"/>
  <c r="C81" i="7"/>
  <c r="C82" i="7"/>
  <c r="D82" i="7" s="1"/>
  <c r="C83" i="7"/>
  <c r="D83" i="7" s="1"/>
  <c r="C84" i="7"/>
  <c r="C85" i="7"/>
  <c r="D85" i="7" s="1"/>
  <c r="C86" i="7"/>
  <c r="C87" i="7"/>
  <c r="C88" i="7"/>
  <c r="C89" i="7"/>
  <c r="C90" i="7"/>
  <c r="D90" i="7" s="1"/>
  <c r="C91" i="7"/>
  <c r="C92" i="7"/>
  <c r="C93" i="7"/>
  <c r="C94" i="7"/>
  <c r="C95" i="7"/>
  <c r="D95" i="7" s="1"/>
  <c r="C96" i="7"/>
  <c r="C97" i="7"/>
  <c r="C98" i="7"/>
  <c r="D98" i="7" s="1"/>
  <c r="C99" i="7"/>
  <c r="C100" i="7"/>
  <c r="C101" i="7"/>
  <c r="C102" i="7"/>
  <c r="C103" i="7"/>
  <c r="D103" i="7" s="1"/>
  <c r="C104" i="7"/>
  <c r="C105" i="7"/>
  <c r="C106" i="7"/>
  <c r="D106" i="7" s="1"/>
  <c r="C107" i="7"/>
  <c r="C108" i="7"/>
  <c r="C109" i="7"/>
  <c r="C110" i="7"/>
  <c r="C111" i="7"/>
  <c r="D111" i="7" s="1"/>
  <c r="C112" i="7"/>
  <c r="C113" i="7"/>
  <c r="C114" i="7"/>
  <c r="D114" i="7" s="1"/>
  <c r="C115" i="7"/>
  <c r="C116" i="7"/>
  <c r="C117" i="7"/>
  <c r="C118" i="7"/>
  <c r="C119" i="7"/>
  <c r="D119" i="7" s="1"/>
  <c r="C120" i="7"/>
  <c r="C121" i="7"/>
  <c r="C122" i="7"/>
  <c r="D122" i="7" s="1"/>
  <c r="C123" i="7"/>
  <c r="C124" i="7"/>
  <c r="C125" i="7"/>
  <c r="C126" i="7"/>
  <c r="C127" i="7"/>
  <c r="D127" i="7" s="1"/>
  <c r="C3" i="7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I3" i="10"/>
  <c r="G3" i="10"/>
  <c r="E3" i="10"/>
  <c r="C3" i="10"/>
  <c r="D89" i="7"/>
  <c r="D76" i="7"/>
  <c r="D54" i="7"/>
  <c r="D13" i="7"/>
  <c r="D3" i="7"/>
  <c r="D4" i="7"/>
  <c r="D5" i="7"/>
  <c r="D6" i="7"/>
  <c r="D7" i="7"/>
  <c r="D8" i="7"/>
  <c r="D9" i="7"/>
  <c r="D11" i="7"/>
  <c r="D12" i="7"/>
  <c r="D14" i="7"/>
  <c r="D16" i="7"/>
  <c r="D17" i="7"/>
  <c r="D18" i="7"/>
  <c r="D19" i="7"/>
  <c r="D20" i="7"/>
  <c r="D21" i="7"/>
  <c r="D22" i="7"/>
  <c r="D24" i="7"/>
  <c r="D25" i="7"/>
  <c r="D26" i="7"/>
  <c r="D27" i="7"/>
  <c r="D28" i="7"/>
  <c r="D29" i="7"/>
  <c r="D30" i="7"/>
  <c r="D32" i="7"/>
  <c r="D33" i="7"/>
  <c r="D34" i="7"/>
  <c r="D35" i="7"/>
  <c r="D36" i="7"/>
  <c r="D37" i="7"/>
  <c r="D38" i="7"/>
  <c r="D40" i="7"/>
  <c r="D41" i="7"/>
  <c r="D42" i="7"/>
  <c r="D43" i="7"/>
  <c r="D44" i="7"/>
  <c r="D45" i="7"/>
  <c r="D46" i="7"/>
  <c r="D48" i="7"/>
  <c r="D49" i="7"/>
  <c r="D50" i="7"/>
  <c r="D51" i="7"/>
  <c r="D52" i="7"/>
  <c r="D53" i="7"/>
  <c r="D56" i="7"/>
  <c r="D57" i="7"/>
  <c r="D59" i="7"/>
  <c r="D60" i="7"/>
  <c r="D62" i="7"/>
  <c r="D64" i="7"/>
  <c r="D65" i="7"/>
  <c r="D67" i="7"/>
  <c r="D68" i="7"/>
  <c r="D70" i="7"/>
  <c r="D72" i="7"/>
  <c r="D73" i="7"/>
  <c r="D75" i="7"/>
  <c r="D78" i="7"/>
  <c r="D79" i="7"/>
  <c r="D80" i="7"/>
  <c r="D81" i="7"/>
  <c r="D84" i="7"/>
  <c r="D86" i="7"/>
  <c r="D87" i="7"/>
  <c r="D88" i="7"/>
  <c r="D91" i="7"/>
  <c r="D92" i="7"/>
  <c r="D93" i="7"/>
  <c r="D94" i="7"/>
  <c r="D96" i="7"/>
  <c r="D97" i="7"/>
  <c r="D99" i="7"/>
  <c r="D100" i="7"/>
  <c r="D101" i="7"/>
  <c r="D102" i="7"/>
  <c r="D104" i="7"/>
  <c r="D105" i="7"/>
  <c r="D107" i="7"/>
  <c r="D108" i="7"/>
  <c r="D109" i="7"/>
  <c r="D110" i="7"/>
  <c r="D112" i="7"/>
  <c r="D113" i="7"/>
  <c r="D115" i="7"/>
  <c r="D116" i="7"/>
  <c r="D117" i="7"/>
  <c r="D118" i="7"/>
  <c r="D120" i="7"/>
  <c r="D121" i="7"/>
  <c r="D123" i="7"/>
  <c r="D124" i="7"/>
  <c r="D125" i="7"/>
  <c r="D126" i="7"/>
  <c r="I4" i="7"/>
  <c r="J4" i="7" s="1"/>
  <c r="I5" i="7"/>
  <c r="J5" i="7" s="1"/>
  <c r="I6" i="7"/>
  <c r="J6" i="7" s="1"/>
  <c r="I7" i="7"/>
  <c r="J7" i="7" s="1"/>
  <c r="I8" i="7"/>
  <c r="J8" i="7"/>
  <c r="I9" i="7"/>
  <c r="J9" i="7" s="1"/>
  <c r="I10" i="7"/>
  <c r="J10" i="7" s="1"/>
  <c r="I11" i="7"/>
  <c r="J11" i="7" s="1"/>
  <c r="I12" i="7"/>
  <c r="J12" i="7" s="1"/>
  <c r="I13" i="7"/>
  <c r="J13" i="7"/>
  <c r="I14" i="7"/>
  <c r="J14" i="7" s="1"/>
  <c r="I15" i="7"/>
  <c r="J15" i="7" s="1"/>
  <c r="I16" i="7"/>
  <c r="J16" i="7"/>
  <c r="I17" i="7"/>
  <c r="J17" i="7"/>
  <c r="I18" i="7"/>
  <c r="J18" i="7"/>
  <c r="I19" i="7"/>
  <c r="J19" i="7" s="1"/>
  <c r="I20" i="7"/>
  <c r="J20" i="7" s="1"/>
  <c r="I21" i="7"/>
  <c r="J21" i="7" s="1"/>
  <c r="I22" i="7"/>
  <c r="J22" i="7" s="1"/>
  <c r="I23" i="7"/>
  <c r="J23" i="7" s="1"/>
  <c r="I24" i="7"/>
  <c r="J24" i="7" s="1"/>
  <c r="I25" i="7"/>
  <c r="J25" i="7" s="1"/>
  <c r="I26" i="7"/>
  <c r="J26" i="7" s="1"/>
  <c r="I27" i="7"/>
  <c r="J27" i="7" s="1"/>
  <c r="I28" i="7"/>
  <c r="J28" i="7" s="1"/>
  <c r="I29" i="7"/>
  <c r="J29" i="7" s="1"/>
  <c r="I30" i="7"/>
  <c r="J30" i="7" s="1"/>
  <c r="I31" i="7"/>
  <c r="J31" i="7" s="1"/>
  <c r="I32" i="7"/>
  <c r="J32" i="7" s="1"/>
  <c r="I33" i="7"/>
  <c r="J33" i="7" s="1"/>
  <c r="I34" i="7"/>
  <c r="J34" i="7" s="1"/>
  <c r="I35" i="7"/>
  <c r="J35" i="7" s="1"/>
  <c r="I36" i="7"/>
  <c r="J36" i="7"/>
  <c r="I37" i="7"/>
  <c r="J37" i="7" s="1"/>
  <c r="I38" i="7"/>
  <c r="J38" i="7" s="1"/>
  <c r="I39" i="7"/>
  <c r="J39" i="7" s="1"/>
  <c r="I40" i="7"/>
  <c r="J40" i="7" s="1"/>
  <c r="I41" i="7"/>
  <c r="J41" i="7"/>
  <c r="I42" i="7"/>
  <c r="J42" i="7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/>
  <c r="I49" i="7"/>
  <c r="J49" i="7" s="1"/>
  <c r="I50" i="7"/>
  <c r="J50" i="7" s="1"/>
  <c r="I51" i="7"/>
  <c r="J51" i="7" s="1"/>
  <c r="I52" i="7"/>
  <c r="J52" i="7" s="1"/>
  <c r="I53" i="7"/>
  <c r="J53" i="7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1" i="7"/>
  <c r="J61" i="7" s="1"/>
  <c r="I62" i="7"/>
  <c r="J62" i="7"/>
  <c r="I63" i="7"/>
  <c r="J63" i="7"/>
  <c r="I64" i="7"/>
  <c r="J64" i="7" s="1"/>
  <c r="I65" i="7"/>
  <c r="J65" i="7" s="1"/>
  <c r="I66" i="7"/>
  <c r="J66" i="7" s="1"/>
  <c r="I67" i="7"/>
  <c r="J67" i="7" s="1"/>
  <c r="I68" i="7"/>
  <c r="J68" i="7" s="1"/>
  <c r="I69" i="7"/>
  <c r="J69" i="7"/>
  <c r="I70" i="7"/>
  <c r="J70" i="7" s="1"/>
  <c r="I71" i="7"/>
  <c r="J71" i="7" s="1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/>
  <c r="I90" i="7"/>
  <c r="J90" i="7" s="1"/>
  <c r="I91" i="7"/>
  <c r="J91" i="7" s="1"/>
  <c r="I92" i="7"/>
  <c r="J92" i="7" s="1"/>
  <c r="I93" i="7"/>
  <c r="J93" i="7"/>
  <c r="I94" i="7"/>
  <c r="J94" i="7" s="1"/>
  <c r="I95" i="7"/>
  <c r="J95" i="7" s="1"/>
  <c r="I96" i="7"/>
  <c r="J96" i="7" s="1"/>
  <c r="I97" i="7"/>
  <c r="J97" i="7" s="1"/>
  <c r="I98" i="7"/>
  <c r="J98" i="7" s="1"/>
  <c r="I99" i="7"/>
  <c r="J99" i="7" s="1"/>
  <c r="I100" i="7"/>
  <c r="J100" i="7" s="1"/>
  <c r="I101" i="7"/>
  <c r="J101" i="7"/>
  <c r="I102" i="7"/>
  <c r="J102" i="7" s="1"/>
  <c r="I103" i="7"/>
  <c r="J103" i="7" s="1"/>
  <c r="I104" i="7"/>
  <c r="J104" i="7" s="1"/>
  <c r="I105" i="7"/>
  <c r="J105" i="7" s="1"/>
  <c r="I106" i="7"/>
  <c r="J106" i="7" s="1"/>
  <c r="I107" i="7"/>
  <c r="J107" i="7" s="1"/>
  <c r="I108" i="7"/>
  <c r="J108" i="7" s="1"/>
  <c r="I109" i="7"/>
  <c r="J109" i="7" s="1"/>
  <c r="I110" i="7"/>
  <c r="J110" i="7" s="1"/>
  <c r="I111" i="7"/>
  <c r="J111" i="7" s="1"/>
  <c r="I112" i="7"/>
  <c r="J112" i="7" s="1"/>
  <c r="I113" i="7"/>
  <c r="J113" i="7"/>
  <c r="I114" i="7"/>
  <c r="J114" i="7"/>
  <c r="I115" i="7"/>
  <c r="J115" i="7" s="1"/>
  <c r="I116" i="7"/>
  <c r="J116" i="7" s="1"/>
  <c r="I117" i="7"/>
  <c r="J117" i="7"/>
  <c r="I118" i="7"/>
  <c r="J118" i="7"/>
  <c r="I119" i="7"/>
  <c r="J119" i="7" s="1"/>
  <c r="I120" i="7"/>
  <c r="J120" i="7" s="1"/>
  <c r="I121" i="7"/>
  <c r="J121" i="7" s="1"/>
  <c r="I122" i="7"/>
  <c r="J122" i="7"/>
  <c r="I123" i="7"/>
  <c r="J123" i="7" s="1"/>
  <c r="I124" i="7"/>
  <c r="J124" i="7" s="1"/>
  <c r="I125" i="7"/>
  <c r="J125" i="7" s="1"/>
  <c r="I126" i="7"/>
  <c r="J126" i="7"/>
  <c r="I127" i="7"/>
  <c r="J127" i="7" s="1"/>
  <c r="I3" i="7"/>
  <c r="J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/>
  <c r="F10" i="7"/>
  <c r="G10" i="7" s="1"/>
  <c r="F11" i="7"/>
  <c r="G11" i="7" s="1"/>
  <c r="F12" i="7"/>
  <c r="G12" i="7" s="1"/>
  <c r="F13" i="7"/>
  <c r="G13" i="7" s="1"/>
  <c r="F14" i="7"/>
  <c r="G14" i="7"/>
  <c r="F15" i="7"/>
  <c r="G15" i="7"/>
  <c r="F16" i="7"/>
  <c r="G16" i="7" s="1"/>
  <c r="F17" i="7"/>
  <c r="G17" i="7" s="1"/>
  <c r="F18" i="7"/>
  <c r="G18" i="7" s="1"/>
  <c r="F19" i="7"/>
  <c r="G19" i="7"/>
  <c r="F20" i="7"/>
  <c r="G20" i="7" s="1"/>
  <c r="F21" i="7"/>
  <c r="G21" i="7"/>
  <c r="F22" i="7"/>
  <c r="G22" i="7"/>
  <c r="F23" i="7"/>
  <c r="G23" i="7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/>
  <c r="F30" i="7"/>
  <c r="G30" i="7"/>
  <c r="F31" i="7"/>
  <c r="G31" i="7"/>
  <c r="F32" i="7"/>
  <c r="G32" i="7" s="1"/>
  <c r="F33" i="7"/>
  <c r="G33" i="7"/>
  <c r="F34" i="7"/>
  <c r="G34" i="7" s="1"/>
  <c r="F35" i="7"/>
  <c r="G35" i="7" s="1"/>
  <c r="F36" i="7"/>
  <c r="G36" i="7" s="1"/>
  <c r="F37" i="7"/>
  <c r="G37" i="7"/>
  <c r="F38" i="7"/>
  <c r="G38" i="7"/>
  <c r="F39" i="7"/>
  <c r="G39" i="7" s="1"/>
  <c r="F40" i="7"/>
  <c r="G40" i="7" s="1"/>
  <c r="F41" i="7"/>
  <c r="G41" i="7" s="1"/>
  <c r="F42" i="7"/>
  <c r="G42" i="7"/>
  <c r="F43" i="7"/>
  <c r="G43" i="7" s="1"/>
  <c r="F44" i="7"/>
  <c r="G44" i="7" s="1"/>
  <c r="F45" i="7"/>
  <c r="G45" i="7"/>
  <c r="F46" i="7"/>
  <c r="G46" i="7" s="1"/>
  <c r="F47" i="7"/>
  <c r="G47" i="7"/>
  <c r="F48" i="7"/>
  <c r="G48" i="7" s="1"/>
  <c r="F49" i="7"/>
  <c r="G49" i="7" s="1"/>
  <c r="F50" i="7"/>
  <c r="G50" i="7"/>
  <c r="F51" i="7"/>
  <c r="G51" i="7" s="1"/>
  <c r="F52" i="7"/>
  <c r="G52" i="7" s="1"/>
  <c r="F53" i="7"/>
  <c r="G53" i="7"/>
  <c r="F54" i="7"/>
  <c r="G54" i="7" s="1"/>
  <c r="F55" i="7"/>
  <c r="G55" i="7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/>
  <c r="F62" i="7"/>
  <c r="G62" i="7"/>
  <c r="F63" i="7"/>
  <c r="G63" i="7"/>
  <c r="F64" i="7"/>
  <c r="G64" i="7" s="1"/>
  <c r="F65" i="7"/>
  <c r="G65" i="7"/>
  <c r="F66" i="7"/>
  <c r="G66" i="7" s="1"/>
  <c r="F67" i="7"/>
  <c r="G67" i="7" s="1"/>
  <c r="F68" i="7"/>
  <c r="G68" i="7" s="1"/>
  <c r="F69" i="7"/>
  <c r="G69" i="7"/>
  <c r="F70" i="7"/>
  <c r="G70" i="7" s="1"/>
  <c r="F71" i="7"/>
  <c r="G71" i="7"/>
  <c r="F72" i="7"/>
  <c r="G72" i="7" s="1"/>
  <c r="F73" i="7"/>
  <c r="G73" i="7" s="1"/>
  <c r="F74" i="7"/>
  <c r="G74" i="7" s="1"/>
  <c r="F75" i="7"/>
  <c r="G75" i="7" s="1"/>
  <c r="F76" i="7"/>
  <c r="G76" i="7" s="1"/>
  <c r="F77" i="7"/>
  <c r="G77" i="7" s="1"/>
  <c r="F78" i="7"/>
  <c r="G78" i="7" s="1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G85" i="7"/>
  <c r="F86" i="7"/>
  <c r="G86" i="7"/>
  <c r="F87" i="7"/>
  <c r="G87" i="7"/>
  <c r="F88" i="7"/>
  <c r="G88" i="7" s="1"/>
  <c r="F89" i="7"/>
  <c r="G89" i="7" s="1"/>
  <c r="F90" i="7"/>
  <c r="G90" i="7" s="1"/>
  <c r="F91" i="7"/>
  <c r="G91" i="7"/>
  <c r="F92" i="7"/>
  <c r="G92" i="7" s="1"/>
  <c r="F93" i="7"/>
  <c r="G93" i="7"/>
  <c r="F94" i="7"/>
  <c r="G94" i="7"/>
  <c r="F95" i="7"/>
  <c r="G95" i="7"/>
  <c r="F96" i="7"/>
  <c r="G96" i="7" s="1"/>
  <c r="F97" i="7"/>
  <c r="G97" i="7" s="1"/>
  <c r="F98" i="7"/>
  <c r="G98" i="7" s="1"/>
  <c r="F99" i="7"/>
  <c r="G99" i="7" s="1"/>
  <c r="F100" i="7"/>
  <c r="G100" i="7" s="1"/>
  <c r="F101" i="7"/>
  <c r="G101" i="7"/>
  <c r="F102" i="7"/>
  <c r="G102" i="7"/>
  <c r="F103" i="7"/>
  <c r="G103" i="7"/>
  <c r="F104" i="7"/>
  <c r="G104" i="7" s="1"/>
  <c r="F105" i="7"/>
  <c r="G105" i="7" s="1"/>
  <c r="F106" i="7"/>
  <c r="G106" i="7"/>
  <c r="F107" i="7"/>
  <c r="G107" i="7" s="1"/>
  <c r="F108" i="7"/>
  <c r="G108" i="7" s="1"/>
  <c r="F109" i="7"/>
  <c r="G109" i="7" s="1"/>
  <c r="F110" i="7"/>
  <c r="G110" i="7" s="1"/>
  <c r="F111" i="7"/>
  <c r="G111" i="7"/>
  <c r="F112" i="7"/>
  <c r="G112" i="7" s="1"/>
  <c r="F113" i="7"/>
  <c r="G113" i="7" s="1"/>
  <c r="F114" i="7"/>
  <c r="G114" i="7" s="1"/>
  <c r="F115" i="7"/>
  <c r="G115" i="7" s="1"/>
  <c r="F116" i="7"/>
  <c r="G116" i="7" s="1"/>
  <c r="F117" i="7"/>
  <c r="G117" i="7"/>
  <c r="F118" i="7"/>
  <c r="G118" i="7"/>
  <c r="F119" i="7"/>
  <c r="G119" i="7"/>
  <c r="F120" i="7"/>
  <c r="G120" i="7" s="1"/>
  <c r="F121" i="7"/>
  <c r="G121" i="7" s="1"/>
  <c r="F122" i="7"/>
  <c r="G122" i="7" s="1"/>
  <c r="F123" i="7"/>
  <c r="G123" i="7" s="1"/>
  <c r="F124" i="7"/>
  <c r="G124" i="7" s="1"/>
  <c r="F125" i="7"/>
  <c r="G125" i="7"/>
  <c r="F126" i="7"/>
  <c r="G126" i="7"/>
  <c r="F127" i="7"/>
  <c r="G127" i="7"/>
  <c r="F3" i="7"/>
  <c r="G3" i="7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3" i="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2" i="2"/>
  <c r="Q14" i="1"/>
  <c r="F4" i="6"/>
  <c r="G4" i="6" s="1"/>
  <c r="F5" i="6"/>
  <c r="G5" i="6" s="1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F59" i="6"/>
  <c r="G59" i="6" s="1"/>
  <c r="F60" i="6"/>
  <c r="G60" i="6" s="1"/>
  <c r="F61" i="6"/>
  <c r="G6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G70" i="6" s="1"/>
  <c r="F71" i="6"/>
  <c r="G71" i="6" s="1"/>
  <c r="F72" i="6"/>
  <c r="G72" i="6" s="1"/>
  <c r="F73" i="6"/>
  <c r="G73" i="6" s="1"/>
  <c r="F74" i="6"/>
  <c r="G74" i="6" s="1"/>
  <c r="F75" i="6"/>
  <c r="G75" i="6" s="1"/>
  <c r="F76" i="6"/>
  <c r="G76" i="6" s="1"/>
  <c r="F77" i="6"/>
  <c r="G77" i="6" s="1"/>
  <c r="F78" i="6"/>
  <c r="G78" i="6" s="1"/>
  <c r="F79" i="6"/>
  <c r="G79" i="6" s="1"/>
  <c r="F80" i="6"/>
  <c r="G80" i="6" s="1"/>
  <c r="F81" i="6"/>
  <c r="G81" i="6" s="1"/>
  <c r="F82" i="6"/>
  <c r="G82" i="6" s="1"/>
  <c r="F83" i="6"/>
  <c r="G83" i="6" s="1"/>
  <c r="F84" i="6"/>
  <c r="G84" i="6" s="1"/>
  <c r="F85" i="6"/>
  <c r="G85" i="6" s="1"/>
  <c r="F86" i="6"/>
  <c r="G86" i="6" s="1"/>
  <c r="F87" i="6"/>
  <c r="G87" i="6" s="1"/>
  <c r="F88" i="6"/>
  <c r="G88" i="6" s="1"/>
  <c r="F89" i="6"/>
  <c r="G89" i="6" s="1"/>
  <c r="F90" i="6"/>
  <c r="G90" i="6" s="1"/>
  <c r="F91" i="6"/>
  <c r="G91" i="6" s="1"/>
  <c r="F92" i="6"/>
  <c r="G92" i="6" s="1"/>
  <c r="F93" i="6"/>
  <c r="G93" i="6" s="1"/>
  <c r="F94" i="6"/>
  <c r="G94" i="6" s="1"/>
  <c r="F95" i="6"/>
  <c r="G95" i="6" s="1"/>
  <c r="F96" i="6"/>
  <c r="G96" i="6" s="1"/>
  <c r="F97" i="6"/>
  <c r="G97" i="6" s="1"/>
  <c r="F98" i="6"/>
  <c r="G98" i="6" s="1"/>
  <c r="F99" i="6"/>
  <c r="G99" i="6" s="1"/>
  <c r="F100" i="6"/>
  <c r="G100" i="6" s="1"/>
  <c r="F101" i="6"/>
  <c r="G101" i="6" s="1"/>
  <c r="F102" i="6"/>
  <c r="G102" i="6" s="1"/>
  <c r="F103" i="6"/>
  <c r="G103" i="6" s="1"/>
  <c r="F104" i="6"/>
  <c r="G104" i="6" s="1"/>
  <c r="F105" i="6"/>
  <c r="G105" i="6" s="1"/>
  <c r="F106" i="6"/>
  <c r="G106" i="6" s="1"/>
  <c r="F107" i="6"/>
  <c r="G107" i="6" s="1"/>
  <c r="F108" i="6"/>
  <c r="G108" i="6" s="1"/>
  <c r="F109" i="6"/>
  <c r="G109" i="6" s="1"/>
  <c r="F110" i="6"/>
  <c r="G110" i="6" s="1"/>
  <c r="F111" i="6"/>
  <c r="G111" i="6" s="1"/>
  <c r="F112" i="6"/>
  <c r="G112" i="6" s="1"/>
  <c r="F113" i="6"/>
  <c r="G113" i="6" s="1"/>
  <c r="F114" i="6"/>
  <c r="G114" i="6" s="1"/>
  <c r="F115" i="6"/>
  <c r="G115" i="6" s="1"/>
  <c r="F116" i="6"/>
  <c r="G116" i="6" s="1"/>
  <c r="F117" i="6"/>
  <c r="G117" i="6" s="1"/>
  <c r="F118" i="6"/>
  <c r="G118" i="6" s="1"/>
  <c r="F119" i="6"/>
  <c r="G119" i="6" s="1"/>
  <c r="F120" i="6"/>
  <c r="G120" i="6" s="1"/>
  <c r="F121" i="6"/>
  <c r="G121" i="6" s="1"/>
  <c r="F122" i="6"/>
  <c r="G122" i="6" s="1"/>
  <c r="F123" i="6"/>
  <c r="G123" i="6" s="1"/>
  <c r="F124" i="6"/>
  <c r="G124" i="6" s="1"/>
  <c r="F125" i="6"/>
  <c r="G125" i="6" s="1"/>
  <c r="F126" i="6"/>
  <c r="G126" i="6" s="1"/>
  <c r="F127" i="6"/>
  <c r="G127" i="6" s="1"/>
  <c r="F3" i="6"/>
  <c r="G3" i="6" s="1"/>
  <c r="M7" i="11" l="1"/>
  <c r="M8" i="11"/>
  <c r="M15" i="11"/>
  <c r="M16" i="11"/>
  <c r="M23" i="11"/>
  <c r="M24" i="11"/>
  <c r="M31" i="11"/>
  <c r="M32" i="11"/>
  <c r="M39" i="11"/>
  <c r="M40" i="11"/>
  <c r="M47" i="11"/>
  <c r="M48" i="11"/>
  <c r="M55" i="11"/>
  <c r="M56" i="11"/>
  <c r="M63" i="11"/>
  <c r="M64" i="11"/>
  <c r="M71" i="11"/>
  <c r="M72" i="11"/>
  <c r="M79" i="11"/>
  <c r="M80" i="11"/>
  <c r="M87" i="11"/>
  <c r="M88" i="11"/>
  <c r="M95" i="11"/>
  <c r="M96" i="11"/>
  <c r="M103" i="11"/>
  <c r="M104" i="11"/>
  <c r="M111" i="11"/>
  <c r="M112" i="11"/>
  <c r="M119" i="11"/>
  <c r="M120" i="11"/>
  <c r="L5" i="11"/>
  <c r="L6" i="11"/>
  <c r="L7" i="11"/>
  <c r="L13" i="11"/>
  <c r="L14" i="11"/>
  <c r="L15" i="11"/>
  <c r="L21" i="11"/>
  <c r="L22" i="11"/>
  <c r="L23" i="11"/>
  <c r="L29" i="11"/>
  <c r="L30" i="11"/>
  <c r="L31" i="11"/>
  <c r="L37" i="11"/>
  <c r="L38" i="11"/>
  <c r="L39" i="11"/>
  <c r="L45" i="11"/>
  <c r="L46" i="11"/>
  <c r="L47" i="11"/>
  <c r="L53" i="11"/>
  <c r="L54" i="11"/>
  <c r="L55" i="11"/>
  <c r="L61" i="11"/>
  <c r="L62" i="11"/>
  <c r="L63" i="11"/>
  <c r="L69" i="11"/>
  <c r="L70" i="11"/>
  <c r="L71" i="11"/>
  <c r="L77" i="11"/>
  <c r="L78" i="11"/>
  <c r="L79" i="11"/>
  <c r="L85" i="11"/>
  <c r="L86" i="11"/>
  <c r="L87" i="11"/>
  <c r="L93" i="11"/>
  <c r="L94" i="11"/>
  <c r="L95" i="11"/>
  <c r="L101" i="11"/>
  <c r="L102" i="11"/>
  <c r="L103" i="11"/>
  <c r="L109" i="11"/>
  <c r="L110" i="11"/>
  <c r="L111" i="11"/>
  <c r="L117" i="11"/>
  <c r="L118" i="11"/>
  <c r="L119" i="11"/>
  <c r="L125" i="11"/>
  <c r="L126" i="11"/>
  <c r="K3" i="11"/>
  <c r="K10" i="11"/>
  <c r="K11" i="11"/>
  <c r="K18" i="11"/>
  <c r="K19" i="11"/>
  <c r="K26" i="11"/>
  <c r="K27" i="11"/>
  <c r="K34" i="11"/>
  <c r="K35" i="11"/>
  <c r="K42" i="11"/>
  <c r="K43" i="11"/>
  <c r="K50" i="11"/>
  <c r="K51" i="11"/>
  <c r="K58" i="11"/>
  <c r="K59" i="11"/>
  <c r="K66" i="11"/>
  <c r="K67" i="11"/>
  <c r="K74" i="11"/>
  <c r="K75" i="11"/>
  <c r="K82" i="11"/>
  <c r="K83" i="11"/>
  <c r="K90" i="11"/>
  <c r="K91" i="11"/>
  <c r="K98" i="11"/>
  <c r="K99" i="11"/>
  <c r="K106" i="11"/>
  <c r="K107" i="11"/>
  <c r="K114" i="11"/>
  <c r="K115" i="11"/>
  <c r="K122" i="11"/>
  <c r="K123" i="11"/>
  <c r="I4" i="11"/>
  <c r="I6" i="11"/>
  <c r="I7" i="11"/>
  <c r="I9" i="11"/>
  <c r="I10" i="11"/>
  <c r="I15" i="11"/>
  <c r="I18" i="11"/>
  <c r="I23" i="11"/>
  <c r="I26" i="11"/>
  <c r="I31" i="11"/>
  <c r="I34" i="11"/>
  <c r="I39" i="11"/>
  <c r="I42" i="11"/>
  <c r="I47" i="11"/>
  <c r="I50" i="11"/>
  <c r="I55" i="11"/>
  <c r="I58" i="11"/>
  <c r="I63" i="11"/>
  <c r="I66" i="11"/>
  <c r="I71" i="11"/>
  <c r="I74" i="11"/>
  <c r="I79" i="11"/>
  <c r="I82" i="11"/>
  <c r="I87" i="11"/>
  <c r="I90" i="11"/>
  <c r="I95" i="11"/>
  <c r="I98" i="11"/>
  <c r="I103" i="11"/>
  <c r="I106" i="11"/>
  <c r="I111" i="11"/>
  <c r="I114" i="11"/>
  <c r="I119" i="11"/>
  <c r="I12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M2" i="11"/>
  <c r="L2" i="11"/>
  <c r="I2" i="11"/>
  <c r="B2" i="11"/>
  <c r="H89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J5" i="11"/>
  <c r="J22" i="11"/>
  <c r="J69" i="11"/>
  <c r="J86" i="11"/>
  <c r="J87" i="11"/>
  <c r="J109" i="11"/>
  <c r="J3" i="11"/>
  <c r="J4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H2" i="11"/>
  <c r="J2" i="11"/>
  <c r="M3" i="11"/>
  <c r="M4" i="11"/>
  <c r="M5" i="11"/>
  <c r="M6" i="11"/>
  <c r="M9" i="11"/>
  <c r="M10" i="11"/>
  <c r="M11" i="11"/>
  <c r="M12" i="11"/>
  <c r="M13" i="11"/>
  <c r="M14" i="11"/>
  <c r="M17" i="11"/>
  <c r="M18" i="11"/>
  <c r="M19" i="11"/>
  <c r="M20" i="11"/>
  <c r="M21" i="11"/>
  <c r="M22" i="11"/>
  <c r="M25" i="11"/>
  <c r="M26" i="11"/>
  <c r="M27" i="11"/>
  <c r="M28" i="11"/>
  <c r="M29" i="11"/>
  <c r="M30" i="11"/>
  <c r="M33" i="11"/>
  <c r="M34" i="11"/>
  <c r="M35" i="11"/>
  <c r="M36" i="11"/>
  <c r="M37" i="11"/>
  <c r="M38" i="11"/>
  <c r="M41" i="11"/>
  <c r="M42" i="11"/>
  <c r="M43" i="11"/>
  <c r="M44" i="11"/>
  <c r="M45" i="11"/>
  <c r="M46" i="11"/>
  <c r="M49" i="11"/>
  <c r="M50" i="11"/>
  <c r="M51" i="11"/>
  <c r="M52" i="11"/>
  <c r="M53" i="11"/>
  <c r="M54" i="11"/>
  <c r="M57" i="11"/>
  <c r="M58" i="11"/>
  <c r="M59" i="11"/>
  <c r="M60" i="11"/>
  <c r="M61" i="11"/>
  <c r="M62" i="11"/>
  <c r="M65" i="11"/>
  <c r="M66" i="11"/>
  <c r="M67" i="11"/>
  <c r="M68" i="11"/>
  <c r="M69" i="11"/>
  <c r="M70" i="11"/>
  <c r="M73" i="11"/>
  <c r="M74" i="11"/>
  <c r="M75" i="11"/>
  <c r="M76" i="11"/>
  <c r="M77" i="11"/>
  <c r="M78" i="11"/>
  <c r="M81" i="11"/>
  <c r="M82" i="11"/>
  <c r="M83" i="11"/>
  <c r="M84" i="11"/>
  <c r="M85" i="11"/>
  <c r="M86" i="11"/>
  <c r="M89" i="11"/>
  <c r="M90" i="11"/>
  <c r="M91" i="11"/>
  <c r="M92" i="11"/>
  <c r="M93" i="11"/>
  <c r="M94" i="11"/>
  <c r="M97" i="11"/>
  <c r="M98" i="11"/>
  <c r="M99" i="11"/>
  <c r="M100" i="11"/>
  <c r="M101" i="11"/>
  <c r="M102" i="11"/>
  <c r="M105" i="11"/>
  <c r="M106" i="11"/>
  <c r="M107" i="11"/>
  <c r="M108" i="11"/>
  <c r="M109" i="11"/>
  <c r="M110" i="11"/>
  <c r="M113" i="11"/>
  <c r="M114" i="11"/>
  <c r="M115" i="11"/>
  <c r="M116" i="11"/>
  <c r="M117" i="11"/>
  <c r="M118" i="11"/>
  <c r="M121" i="11"/>
  <c r="M122" i="11"/>
  <c r="M123" i="11"/>
  <c r="M124" i="11"/>
  <c r="M125" i="11"/>
  <c r="M126" i="11"/>
  <c r="L3" i="11"/>
  <c r="L4" i="11"/>
  <c r="L8" i="11"/>
  <c r="L9" i="11"/>
  <c r="L10" i="11"/>
  <c r="L11" i="11"/>
  <c r="L12" i="11"/>
  <c r="L16" i="11"/>
  <c r="L17" i="11"/>
  <c r="L18" i="11"/>
  <c r="L19" i="11"/>
  <c r="L20" i="11"/>
  <c r="L24" i="11"/>
  <c r="L25" i="11"/>
  <c r="L26" i="11"/>
  <c r="L27" i="11"/>
  <c r="L28" i="11"/>
  <c r="L32" i="11"/>
  <c r="L33" i="11"/>
  <c r="L34" i="11"/>
  <c r="L35" i="11"/>
  <c r="L36" i="11"/>
  <c r="L40" i="11"/>
  <c r="L41" i="11"/>
  <c r="L42" i="11"/>
  <c r="L43" i="11"/>
  <c r="L44" i="11"/>
  <c r="L48" i="11"/>
  <c r="L49" i="11"/>
  <c r="L50" i="11"/>
  <c r="L51" i="11"/>
  <c r="L52" i="11"/>
  <c r="L56" i="11"/>
  <c r="L57" i="11"/>
  <c r="L58" i="11"/>
  <c r="L59" i="11"/>
  <c r="L60" i="11"/>
  <c r="L64" i="11"/>
  <c r="L65" i="11"/>
  <c r="L66" i="11"/>
  <c r="L67" i="11"/>
  <c r="L68" i="11"/>
  <c r="L72" i="11"/>
  <c r="L73" i="11"/>
  <c r="L74" i="11"/>
  <c r="L75" i="11"/>
  <c r="L76" i="11"/>
  <c r="L80" i="11"/>
  <c r="L81" i="11"/>
  <c r="L82" i="11"/>
  <c r="L83" i="11"/>
  <c r="L84" i="11"/>
  <c r="L88" i="11"/>
  <c r="L89" i="11"/>
  <c r="L90" i="11"/>
  <c r="L91" i="11"/>
  <c r="L92" i="11"/>
  <c r="L96" i="11"/>
  <c r="L97" i="11"/>
  <c r="L98" i="11"/>
  <c r="L99" i="11"/>
  <c r="L100" i="11"/>
  <c r="L104" i="11"/>
  <c r="L105" i="11"/>
  <c r="L106" i="11"/>
  <c r="L107" i="11"/>
  <c r="L108" i="11"/>
  <c r="L112" i="11"/>
  <c r="L113" i="11"/>
  <c r="L114" i="11"/>
  <c r="L115" i="11"/>
  <c r="L116" i="11"/>
  <c r="L120" i="11"/>
  <c r="L121" i="11"/>
  <c r="L122" i="11"/>
  <c r="L123" i="11"/>
  <c r="L124" i="11"/>
  <c r="K4" i="11"/>
  <c r="K5" i="11"/>
  <c r="K6" i="11"/>
  <c r="K7" i="11"/>
  <c r="K8" i="11"/>
  <c r="K9" i="11"/>
  <c r="K12" i="11"/>
  <c r="K13" i="11"/>
  <c r="K14" i="11"/>
  <c r="K15" i="11"/>
  <c r="K16" i="11"/>
  <c r="K17" i="11"/>
  <c r="K20" i="11"/>
  <c r="K21" i="11"/>
  <c r="K22" i="11"/>
  <c r="K23" i="11"/>
  <c r="K24" i="11"/>
  <c r="K25" i="11"/>
  <c r="K28" i="11"/>
  <c r="K29" i="11"/>
  <c r="K30" i="11"/>
  <c r="K31" i="11"/>
  <c r="K32" i="11"/>
  <c r="K33" i="11"/>
  <c r="K36" i="11"/>
  <c r="K37" i="11"/>
  <c r="K38" i="11"/>
  <c r="K39" i="11"/>
  <c r="K40" i="11"/>
  <c r="K41" i="11"/>
  <c r="K44" i="11"/>
  <c r="K45" i="11"/>
  <c r="K46" i="11"/>
  <c r="K47" i="11"/>
  <c r="K48" i="11"/>
  <c r="K49" i="11"/>
  <c r="K52" i="11"/>
  <c r="K53" i="11"/>
  <c r="K54" i="11"/>
  <c r="K55" i="11"/>
  <c r="K56" i="11"/>
  <c r="K57" i="11"/>
  <c r="K60" i="11"/>
  <c r="K61" i="11"/>
  <c r="K62" i="11"/>
  <c r="K63" i="11"/>
  <c r="K64" i="11"/>
  <c r="K65" i="11"/>
  <c r="K68" i="11"/>
  <c r="K69" i="11"/>
  <c r="K70" i="11"/>
  <c r="K71" i="11"/>
  <c r="K72" i="11"/>
  <c r="K73" i="11"/>
  <c r="K76" i="11"/>
  <c r="K77" i="11"/>
  <c r="K78" i="11"/>
  <c r="K79" i="11"/>
  <c r="K80" i="11"/>
  <c r="K81" i="11"/>
  <c r="K84" i="11"/>
  <c r="K85" i="11"/>
  <c r="K86" i="11"/>
  <c r="K87" i="11"/>
  <c r="K88" i="11"/>
  <c r="K89" i="11"/>
  <c r="K92" i="11"/>
  <c r="K93" i="11"/>
  <c r="K94" i="11"/>
  <c r="K95" i="11"/>
  <c r="K96" i="11"/>
  <c r="K97" i="11"/>
  <c r="K100" i="11"/>
  <c r="K101" i="11"/>
  <c r="K102" i="11"/>
  <c r="K103" i="11"/>
  <c r="K104" i="11"/>
  <c r="K105" i="11"/>
  <c r="K108" i="11"/>
  <c r="K109" i="11"/>
  <c r="K110" i="11"/>
  <c r="K111" i="11"/>
  <c r="K112" i="11"/>
  <c r="K113" i="11"/>
  <c r="K116" i="11"/>
  <c r="K117" i="11"/>
  <c r="K118" i="11"/>
  <c r="K119" i="11"/>
  <c r="K120" i="11"/>
  <c r="K121" i="11"/>
  <c r="K124" i="11"/>
  <c r="K125" i="11"/>
  <c r="K126" i="11"/>
  <c r="K2" i="11"/>
  <c r="I3" i="11"/>
  <c r="I5" i="11"/>
  <c r="I8" i="11"/>
  <c r="I11" i="11"/>
  <c r="I12" i="11"/>
  <c r="I13" i="11"/>
  <c r="I14" i="11"/>
  <c r="I16" i="11"/>
  <c r="I17" i="11"/>
  <c r="I19" i="11"/>
  <c r="I20" i="11"/>
  <c r="I21" i="11"/>
  <c r="I22" i="11"/>
  <c r="I24" i="11"/>
  <c r="I25" i="11"/>
  <c r="I27" i="11"/>
  <c r="I28" i="11"/>
  <c r="I29" i="11"/>
  <c r="I30" i="11"/>
  <c r="I32" i="11"/>
  <c r="I33" i="11"/>
  <c r="I35" i="11"/>
  <c r="I36" i="11"/>
  <c r="I37" i="11"/>
  <c r="I38" i="11"/>
  <c r="I40" i="11"/>
  <c r="I41" i="11"/>
  <c r="I43" i="11"/>
  <c r="I44" i="11"/>
  <c r="I45" i="11"/>
  <c r="I46" i="11"/>
  <c r="I48" i="11"/>
  <c r="I49" i="11"/>
  <c r="I51" i="11"/>
  <c r="I52" i="11"/>
  <c r="I53" i="11"/>
  <c r="I54" i="11"/>
  <c r="I56" i="11"/>
  <c r="I57" i="11"/>
  <c r="I59" i="11"/>
  <c r="I60" i="11"/>
  <c r="I61" i="11"/>
  <c r="I62" i="11"/>
  <c r="I64" i="11"/>
  <c r="I65" i="11"/>
  <c r="I67" i="11"/>
  <c r="I68" i="11"/>
  <c r="I69" i="11"/>
  <c r="I70" i="11"/>
  <c r="I72" i="11"/>
  <c r="I73" i="11"/>
  <c r="I75" i="11"/>
  <c r="I76" i="11"/>
  <c r="I77" i="11"/>
  <c r="I78" i="11"/>
  <c r="I80" i="11"/>
  <c r="I81" i="11"/>
  <c r="I83" i="11"/>
  <c r="I84" i="11"/>
  <c r="I85" i="11"/>
  <c r="I86" i="11"/>
  <c r="I88" i="11"/>
  <c r="I89" i="11"/>
  <c r="I91" i="11"/>
  <c r="I92" i="11"/>
  <c r="I93" i="11"/>
  <c r="I94" i="11"/>
  <c r="I96" i="11"/>
  <c r="I97" i="11"/>
  <c r="I99" i="11"/>
  <c r="I100" i="11"/>
  <c r="I101" i="11"/>
  <c r="I102" i="11"/>
  <c r="I104" i="11"/>
  <c r="I105" i="11"/>
  <c r="I107" i="11"/>
  <c r="I108" i="11"/>
  <c r="I109" i="11"/>
  <c r="I110" i="11"/>
  <c r="I112" i="11"/>
  <c r="I113" i="11"/>
  <c r="I115" i="11"/>
  <c r="I116" i="11"/>
  <c r="I117" i="11"/>
  <c r="I118" i="11"/>
  <c r="I120" i="11"/>
  <c r="I121" i="11"/>
  <c r="I123" i="11"/>
  <c r="I124" i="11"/>
  <c r="I125" i="11"/>
  <c r="I126" i="11"/>
  <c r="U4" i="1"/>
  <c r="U5" i="1"/>
  <c r="U6" i="1"/>
  <c r="U7" i="1"/>
  <c r="U3" i="1"/>
  <c r="Q4" i="1"/>
  <c r="Q5" i="1"/>
  <c r="Q6" i="1"/>
  <c r="Q7" i="1"/>
  <c r="Q8" i="1"/>
  <c r="Q3" i="1"/>
  <c r="A87" i="11" l="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2" i="11"/>
  <c r="AK4" i="1"/>
  <c r="AK5" i="1"/>
  <c r="AK6" i="1"/>
  <c r="AK7" i="1"/>
  <c r="AG4" i="1"/>
  <c r="AG5" i="1"/>
  <c r="AG6" i="1"/>
  <c r="AG7" i="1"/>
  <c r="AK3" i="1"/>
  <c r="AK8" i="1" s="1"/>
  <c r="AG3" i="1"/>
  <c r="Y4" i="1"/>
  <c r="Y5" i="1"/>
  <c r="Y6" i="1"/>
  <c r="Y7" i="1"/>
  <c r="Y3" i="1"/>
  <c r="AC4" i="1"/>
  <c r="AC5" i="1"/>
  <c r="AC6" i="1"/>
  <c r="AC7" i="1"/>
  <c r="AC3" i="1"/>
  <c r="F4" i="11"/>
  <c r="F12" i="11"/>
  <c r="F17" i="11"/>
  <c r="F20" i="11"/>
  <c r="F25" i="11"/>
  <c r="F28" i="11"/>
  <c r="F33" i="11"/>
  <c r="F36" i="11"/>
  <c r="F41" i="11"/>
  <c r="F44" i="11"/>
  <c r="F49" i="11"/>
  <c r="F52" i="11"/>
  <c r="F57" i="11"/>
  <c r="F60" i="11"/>
  <c r="F65" i="11"/>
  <c r="F68" i="11"/>
  <c r="F73" i="11"/>
  <c r="F76" i="11"/>
  <c r="F81" i="11"/>
  <c r="F84" i="11"/>
  <c r="F89" i="11"/>
  <c r="F92" i="11"/>
  <c r="F97" i="11"/>
  <c r="F100" i="11"/>
  <c r="F105" i="11"/>
  <c r="F108" i="11"/>
  <c r="F113" i="11"/>
  <c r="F116" i="11"/>
  <c r="F121" i="11"/>
  <c r="F124" i="11"/>
  <c r="F4" i="1"/>
  <c r="F5" i="1"/>
  <c r="F6" i="1"/>
  <c r="F7" i="1"/>
  <c r="F8" i="1"/>
  <c r="F9" i="1"/>
  <c r="F10" i="1"/>
  <c r="F11" i="1"/>
  <c r="F12" i="1"/>
  <c r="F3" i="1"/>
  <c r="M4" i="1"/>
  <c r="M5" i="1"/>
  <c r="M6" i="1"/>
  <c r="M7" i="1"/>
  <c r="M8" i="1"/>
  <c r="M9" i="1"/>
  <c r="M10" i="1"/>
  <c r="M11" i="1"/>
  <c r="M12" i="1"/>
  <c r="M13" i="1"/>
  <c r="M3" i="1"/>
  <c r="E3" i="2"/>
  <c r="C3" i="11" s="1"/>
  <c r="E4" i="2"/>
  <c r="C4" i="11" s="1"/>
  <c r="E5" i="2"/>
  <c r="C5" i="11" s="1"/>
  <c r="E6" i="2"/>
  <c r="C6" i="11" s="1"/>
  <c r="E7" i="2"/>
  <c r="C7" i="11" s="1"/>
  <c r="E8" i="2"/>
  <c r="C8" i="11" s="1"/>
  <c r="E9" i="2"/>
  <c r="C9" i="11" s="1"/>
  <c r="E10" i="2"/>
  <c r="C10" i="11" s="1"/>
  <c r="E11" i="2"/>
  <c r="C11" i="11" s="1"/>
  <c r="E12" i="2"/>
  <c r="C12" i="11"/>
  <c r="E13" i="2"/>
  <c r="C13" i="11" s="1"/>
  <c r="E14" i="2"/>
  <c r="C14" i="11" s="1"/>
  <c r="E15" i="2"/>
  <c r="C15" i="11" s="1"/>
  <c r="E16" i="2"/>
  <c r="C16" i="11" s="1"/>
  <c r="E17" i="2"/>
  <c r="C17" i="11" s="1"/>
  <c r="E18" i="2"/>
  <c r="C18" i="11" s="1"/>
  <c r="E19" i="2"/>
  <c r="C19" i="11" s="1"/>
  <c r="E20" i="2"/>
  <c r="C20" i="11"/>
  <c r="E21" i="2"/>
  <c r="C21" i="11" s="1"/>
  <c r="E22" i="2"/>
  <c r="C22" i="11" s="1"/>
  <c r="E23" i="2"/>
  <c r="C23" i="11" s="1"/>
  <c r="E24" i="2"/>
  <c r="C24" i="11"/>
  <c r="E25" i="2"/>
  <c r="C25" i="11" s="1"/>
  <c r="E26" i="2"/>
  <c r="C26" i="11" s="1"/>
  <c r="E27" i="2"/>
  <c r="C27" i="11" s="1"/>
  <c r="E28" i="2"/>
  <c r="C28" i="11" s="1"/>
  <c r="E29" i="2"/>
  <c r="C29" i="11" s="1"/>
  <c r="E30" i="2"/>
  <c r="C30" i="11" s="1"/>
  <c r="E31" i="2"/>
  <c r="C31" i="11" s="1"/>
  <c r="E32" i="2"/>
  <c r="C32" i="11" s="1"/>
  <c r="E33" i="2"/>
  <c r="C33" i="11" s="1"/>
  <c r="E34" i="2"/>
  <c r="C34" i="11" s="1"/>
  <c r="E35" i="2"/>
  <c r="C35" i="11" s="1"/>
  <c r="E36" i="2"/>
  <c r="C36" i="11" s="1"/>
  <c r="E37" i="2"/>
  <c r="C37" i="11" s="1"/>
  <c r="E38" i="2"/>
  <c r="C38" i="11" s="1"/>
  <c r="E39" i="2"/>
  <c r="C39" i="11" s="1"/>
  <c r="E40" i="2"/>
  <c r="C40" i="11" s="1"/>
  <c r="E41" i="2"/>
  <c r="C41" i="11" s="1"/>
  <c r="E42" i="2"/>
  <c r="C42" i="11" s="1"/>
  <c r="E43" i="2"/>
  <c r="C43" i="11" s="1"/>
  <c r="E44" i="2"/>
  <c r="C44" i="11" s="1"/>
  <c r="E45" i="2"/>
  <c r="C45" i="11" s="1"/>
  <c r="E46" i="2"/>
  <c r="C46" i="11" s="1"/>
  <c r="E47" i="2"/>
  <c r="C47" i="11" s="1"/>
  <c r="E48" i="2"/>
  <c r="C48" i="11" s="1"/>
  <c r="E49" i="2"/>
  <c r="C49" i="11" s="1"/>
  <c r="E50" i="2"/>
  <c r="C50" i="11" s="1"/>
  <c r="E51" i="2"/>
  <c r="C51" i="11" s="1"/>
  <c r="E52" i="2"/>
  <c r="C52" i="11" s="1"/>
  <c r="E53" i="2"/>
  <c r="C53" i="11" s="1"/>
  <c r="E54" i="2"/>
  <c r="C54" i="11" s="1"/>
  <c r="E55" i="2"/>
  <c r="C55" i="11" s="1"/>
  <c r="E56" i="2"/>
  <c r="C56" i="11" s="1"/>
  <c r="E57" i="2"/>
  <c r="C57" i="11" s="1"/>
  <c r="E58" i="2"/>
  <c r="C58" i="11" s="1"/>
  <c r="E59" i="2"/>
  <c r="C59" i="11" s="1"/>
  <c r="E60" i="2"/>
  <c r="C60" i="11" s="1"/>
  <c r="E61" i="2"/>
  <c r="C61" i="11" s="1"/>
  <c r="E62" i="2"/>
  <c r="C62" i="11" s="1"/>
  <c r="E63" i="2"/>
  <c r="C63" i="11" s="1"/>
  <c r="E64" i="2"/>
  <c r="C64" i="11" s="1"/>
  <c r="E65" i="2"/>
  <c r="C65" i="11" s="1"/>
  <c r="E66" i="2"/>
  <c r="C66" i="11" s="1"/>
  <c r="E67" i="2"/>
  <c r="C67" i="11" s="1"/>
  <c r="E68" i="2"/>
  <c r="C68" i="11" s="1"/>
  <c r="E69" i="2"/>
  <c r="C69" i="11" s="1"/>
  <c r="E70" i="2"/>
  <c r="C70" i="11" s="1"/>
  <c r="E71" i="2"/>
  <c r="C71" i="11" s="1"/>
  <c r="E72" i="2"/>
  <c r="C72" i="11"/>
  <c r="E73" i="2"/>
  <c r="C73" i="11" s="1"/>
  <c r="E74" i="2"/>
  <c r="C74" i="11" s="1"/>
  <c r="E75" i="2"/>
  <c r="C75" i="11" s="1"/>
  <c r="E76" i="2"/>
  <c r="C76" i="11"/>
  <c r="E77" i="2"/>
  <c r="C77" i="11" s="1"/>
  <c r="E78" i="2"/>
  <c r="C78" i="11" s="1"/>
  <c r="E79" i="2"/>
  <c r="C79" i="11" s="1"/>
  <c r="E80" i="2"/>
  <c r="C80" i="11" s="1"/>
  <c r="E81" i="2"/>
  <c r="C81" i="11" s="1"/>
  <c r="E82" i="2"/>
  <c r="C82" i="11" s="1"/>
  <c r="E83" i="2"/>
  <c r="C83" i="11" s="1"/>
  <c r="E84" i="2"/>
  <c r="C84" i="11"/>
  <c r="E85" i="2"/>
  <c r="C85" i="11" s="1"/>
  <c r="E86" i="2"/>
  <c r="C86" i="11" s="1"/>
  <c r="E87" i="2"/>
  <c r="C87" i="11" s="1"/>
  <c r="E88" i="2"/>
  <c r="C88" i="11"/>
  <c r="E89" i="2"/>
  <c r="C89" i="11" s="1"/>
  <c r="E90" i="2"/>
  <c r="C90" i="11" s="1"/>
  <c r="E91" i="2"/>
  <c r="C91" i="11" s="1"/>
  <c r="E92" i="2"/>
  <c r="C92" i="11" s="1"/>
  <c r="E93" i="2"/>
  <c r="C93" i="11" s="1"/>
  <c r="E94" i="2"/>
  <c r="C94" i="11" s="1"/>
  <c r="E95" i="2"/>
  <c r="C95" i="11" s="1"/>
  <c r="E96" i="2"/>
  <c r="C96" i="11" s="1"/>
  <c r="E97" i="2"/>
  <c r="C97" i="11" s="1"/>
  <c r="E98" i="2"/>
  <c r="C98" i="11" s="1"/>
  <c r="E99" i="2"/>
  <c r="C99" i="11" s="1"/>
  <c r="E100" i="2"/>
  <c r="C100" i="11"/>
  <c r="E101" i="2"/>
  <c r="C101" i="11" s="1"/>
  <c r="E102" i="2"/>
  <c r="C102" i="11" s="1"/>
  <c r="E103" i="2"/>
  <c r="C103" i="11" s="1"/>
  <c r="E104" i="2"/>
  <c r="C104" i="11"/>
  <c r="E105" i="2"/>
  <c r="C105" i="11" s="1"/>
  <c r="E106" i="2"/>
  <c r="C106" i="11" s="1"/>
  <c r="E107" i="2"/>
  <c r="C107" i="11" s="1"/>
  <c r="E108" i="2"/>
  <c r="C108" i="11" s="1"/>
  <c r="E109" i="2"/>
  <c r="C109" i="11" s="1"/>
  <c r="E110" i="2"/>
  <c r="C110" i="11" s="1"/>
  <c r="E111" i="2"/>
  <c r="C111" i="11" s="1"/>
  <c r="E112" i="2"/>
  <c r="C112" i="11" s="1"/>
  <c r="E113" i="2"/>
  <c r="C113" i="11" s="1"/>
  <c r="E114" i="2"/>
  <c r="C114" i="11" s="1"/>
  <c r="E115" i="2"/>
  <c r="C115" i="11" s="1"/>
  <c r="E116" i="2"/>
  <c r="C116" i="11"/>
  <c r="E117" i="2"/>
  <c r="C117" i="11" s="1"/>
  <c r="E118" i="2"/>
  <c r="C118" i="11" s="1"/>
  <c r="E119" i="2"/>
  <c r="C119" i="11" s="1"/>
  <c r="E120" i="2"/>
  <c r="C120" i="11"/>
  <c r="E121" i="2"/>
  <c r="C121" i="11" s="1"/>
  <c r="E122" i="2"/>
  <c r="C122" i="11" s="1"/>
  <c r="E123" i="2"/>
  <c r="C123" i="11" s="1"/>
  <c r="E124" i="2"/>
  <c r="C124" i="11" s="1"/>
  <c r="E125" i="2"/>
  <c r="C125" i="11" s="1"/>
  <c r="E126" i="2"/>
  <c r="C126" i="11" s="1"/>
  <c r="E2" i="2"/>
  <c r="C2" i="11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2" i="11"/>
  <c r="F3" i="11"/>
  <c r="F5" i="11"/>
  <c r="F6" i="11"/>
  <c r="F7" i="11"/>
  <c r="F8" i="11"/>
  <c r="F9" i="11"/>
  <c r="F10" i="11"/>
  <c r="F11" i="11"/>
  <c r="F13" i="11"/>
  <c r="F14" i="11"/>
  <c r="F15" i="11"/>
  <c r="F16" i="11"/>
  <c r="F18" i="11"/>
  <c r="F19" i="11"/>
  <c r="F21" i="11"/>
  <c r="F22" i="11"/>
  <c r="F23" i="11"/>
  <c r="F24" i="11"/>
  <c r="F26" i="11"/>
  <c r="F27" i="11"/>
  <c r="F29" i="11"/>
  <c r="F30" i="11"/>
  <c r="F31" i="11"/>
  <c r="F32" i="11"/>
  <c r="F34" i="11"/>
  <c r="F35" i="11"/>
  <c r="F37" i="11"/>
  <c r="F38" i="11"/>
  <c r="F39" i="11"/>
  <c r="F40" i="11"/>
  <c r="F42" i="11"/>
  <c r="F43" i="11"/>
  <c r="F45" i="11"/>
  <c r="F46" i="11"/>
  <c r="F47" i="11"/>
  <c r="F48" i="11"/>
  <c r="F50" i="11"/>
  <c r="F51" i="11"/>
  <c r="F53" i="11"/>
  <c r="F54" i="11"/>
  <c r="F55" i="11"/>
  <c r="F56" i="11"/>
  <c r="F58" i="11"/>
  <c r="F59" i="11"/>
  <c r="F61" i="11"/>
  <c r="F62" i="11"/>
  <c r="F63" i="11"/>
  <c r="F64" i="11"/>
  <c r="F66" i="11"/>
  <c r="F67" i="11"/>
  <c r="F69" i="11"/>
  <c r="F70" i="11"/>
  <c r="F71" i="11"/>
  <c r="F72" i="11"/>
  <c r="F74" i="11"/>
  <c r="F75" i="11"/>
  <c r="F77" i="11"/>
  <c r="F78" i="11"/>
  <c r="F79" i="11"/>
  <c r="F80" i="11"/>
  <c r="F82" i="11"/>
  <c r="F83" i="11"/>
  <c r="F85" i="11"/>
  <c r="F86" i="11"/>
  <c r="F87" i="11"/>
  <c r="F88" i="11"/>
  <c r="F90" i="11"/>
  <c r="F91" i="11"/>
  <c r="F93" i="11"/>
  <c r="F94" i="11"/>
  <c r="F95" i="11"/>
  <c r="F96" i="11"/>
  <c r="F98" i="11"/>
  <c r="F99" i="11"/>
  <c r="F101" i="11"/>
  <c r="F102" i="11"/>
  <c r="F103" i="11"/>
  <c r="F104" i="11"/>
  <c r="F106" i="11"/>
  <c r="F107" i="11"/>
  <c r="F109" i="11"/>
  <c r="F110" i="11"/>
  <c r="F111" i="11"/>
  <c r="F112" i="11"/>
  <c r="F114" i="11"/>
  <c r="F115" i="11"/>
  <c r="F117" i="11"/>
  <c r="F118" i="11"/>
  <c r="F119" i="11"/>
  <c r="F120" i="11"/>
  <c r="F122" i="11"/>
  <c r="F123" i="11"/>
  <c r="F125" i="11"/>
  <c r="F126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2" i="11"/>
  <c r="AC8" i="1" l="1"/>
  <c r="Y8" i="1"/>
  <c r="F13" i="1"/>
  <c r="F2" i="11" s="1"/>
  <c r="M14" i="1"/>
  <c r="AG8" i="1"/>
  <c r="D9" i="11" l="1"/>
  <c r="D32" i="11"/>
  <c r="D97" i="11"/>
  <c r="D111" i="11"/>
  <c r="D94" i="11"/>
  <c r="D13" i="11"/>
  <c r="D43" i="11"/>
  <c r="D16" i="11"/>
  <c r="D81" i="11"/>
  <c r="D17" i="11"/>
  <c r="D95" i="11"/>
  <c r="D31" i="11"/>
  <c r="D82" i="11"/>
  <c r="D78" i="11"/>
  <c r="D14" i="11"/>
  <c r="D125" i="11"/>
  <c r="D61" i="11"/>
  <c r="D116" i="11"/>
  <c r="D52" i="11"/>
  <c r="D112" i="11"/>
  <c r="D98" i="11"/>
  <c r="D35" i="11"/>
  <c r="D77" i="11"/>
  <c r="D67" i="11"/>
  <c r="D88" i="11"/>
  <c r="D58" i="11"/>
  <c r="D27" i="11"/>
  <c r="D80" i="11"/>
  <c r="D8" i="11"/>
  <c r="D50" i="11"/>
  <c r="D73" i="11"/>
  <c r="D120" i="11"/>
  <c r="D87" i="11"/>
  <c r="D23" i="11"/>
  <c r="D34" i="11"/>
  <c r="D70" i="11"/>
  <c r="D6" i="11"/>
  <c r="D117" i="11"/>
  <c r="D53" i="11"/>
  <c r="D108" i="11"/>
  <c r="D44" i="11"/>
  <c r="D100" i="11"/>
  <c r="D36" i="11"/>
  <c r="D114" i="11"/>
  <c r="D107" i="11"/>
  <c r="D104" i="11"/>
  <c r="D15" i="11"/>
  <c r="D62" i="11"/>
  <c r="D45" i="11"/>
  <c r="D90" i="11"/>
  <c r="D64" i="11"/>
  <c r="D75" i="11"/>
  <c r="D121" i="11"/>
  <c r="D57" i="11"/>
  <c r="D40" i="11"/>
  <c r="D71" i="11"/>
  <c r="D7" i="11"/>
  <c r="D118" i="11"/>
  <c r="D54" i="11"/>
  <c r="D115" i="11"/>
  <c r="D101" i="11"/>
  <c r="D37" i="11"/>
  <c r="D92" i="11"/>
  <c r="D28" i="11"/>
  <c r="D65" i="11"/>
  <c r="D66" i="11"/>
  <c r="D56" i="11"/>
  <c r="D51" i="11"/>
  <c r="D113" i="11"/>
  <c r="D49" i="11"/>
  <c r="D2" i="11"/>
  <c r="D63" i="11"/>
  <c r="D91" i="11"/>
  <c r="D110" i="11"/>
  <c r="D46" i="11"/>
  <c r="D83" i="11"/>
  <c r="D93" i="11"/>
  <c r="D29" i="11"/>
  <c r="D84" i="11"/>
  <c r="D20" i="11"/>
  <c r="D72" i="11"/>
  <c r="D18" i="11"/>
  <c r="D79" i="11"/>
  <c r="D126" i="11"/>
  <c r="D5" i="11"/>
  <c r="D109" i="11"/>
  <c r="D10" i="11"/>
  <c r="D123" i="11"/>
  <c r="D26" i="11"/>
  <c r="D48" i="11"/>
  <c r="D19" i="11"/>
  <c r="D105" i="11"/>
  <c r="D41" i="11"/>
  <c r="D119" i="11"/>
  <c r="D55" i="11"/>
  <c r="D59" i="11"/>
  <c r="D102" i="11"/>
  <c r="D38" i="11"/>
  <c r="D11" i="11"/>
  <c r="D85" i="11"/>
  <c r="D21" i="11"/>
  <c r="D76" i="11"/>
  <c r="D12" i="11"/>
  <c r="D68" i="11"/>
  <c r="D4" i="11"/>
  <c r="D99" i="11"/>
  <c r="D33" i="11"/>
  <c r="D47" i="11"/>
  <c r="D30" i="11"/>
  <c r="D106" i="11"/>
  <c r="D96" i="11"/>
  <c r="D24" i="11"/>
  <c r="D74" i="11"/>
  <c r="D89" i="11"/>
  <c r="D25" i="11"/>
  <c r="D103" i="11"/>
  <c r="D39" i="11"/>
  <c r="D122" i="11"/>
  <c r="D86" i="11"/>
  <c r="D22" i="11"/>
  <c r="D42" i="11"/>
  <c r="D69" i="11"/>
  <c r="D124" i="11"/>
  <c r="D60" i="11"/>
  <c r="D3" i="11"/>
</calcChain>
</file>

<file path=xl/sharedStrings.xml><?xml version="1.0" encoding="utf-8"?>
<sst xmlns="http://schemas.openxmlformats.org/spreadsheetml/2006/main" count="88" uniqueCount="46">
  <si>
    <t xml:space="preserve"> Temp (°C)</t>
  </si>
  <si>
    <t>Factor</t>
  </si>
  <si>
    <t>Sample No.</t>
  </si>
  <si>
    <t>pH</t>
  </si>
  <si>
    <t>Observed electrical Conductivity</t>
  </si>
  <si>
    <t>Temperature</t>
  </si>
  <si>
    <t>Compensation factor</t>
  </si>
  <si>
    <t>Corrected Electrical Conductivity</t>
  </si>
  <si>
    <t>Burette Reading (A)</t>
  </si>
  <si>
    <t>Blank Reading (B)</t>
  </si>
  <si>
    <t>Nitrogen</t>
  </si>
  <si>
    <t>Absorbance</t>
  </si>
  <si>
    <t>Concentration (ppm)</t>
  </si>
  <si>
    <t>Available P (kg/hactor)</t>
  </si>
  <si>
    <t>Phosphorus</t>
  </si>
  <si>
    <t>Potassium</t>
  </si>
  <si>
    <t>Available K (kg/hactor)</t>
  </si>
  <si>
    <t>Available N (kg/hactor)</t>
  </si>
  <si>
    <t>OC</t>
  </si>
  <si>
    <t>B</t>
  </si>
  <si>
    <t>Available B (mg/Kg)</t>
  </si>
  <si>
    <t>S</t>
  </si>
  <si>
    <t>Available S (mg/Kg)</t>
  </si>
  <si>
    <t>% OC from graph factor</t>
  </si>
  <si>
    <t>% OC</t>
  </si>
  <si>
    <t>Fe</t>
  </si>
  <si>
    <t>Mn</t>
  </si>
  <si>
    <t>Zn</t>
  </si>
  <si>
    <t>Cu</t>
  </si>
  <si>
    <t>Concentration (mg/Kg)</t>
  </si>
  <si>
    <t>Conductivity Temperature Compensation factor</t>
  </si>
  <si>
    <t>Multiplication factor for P</t>
  </si>
  <si>
    <t>Multiplication factor for K</t>
  </si>
  <si>
    <t>Multiplication factor for OC</t>
  </si>
  <si>
    <t>Multiplication factor for B</t>
  </si>
  <si>
    <t>Multiplication factor for S</t>
  </si>
  <si>
    <t>Multiplication factor for Zn</t>
  </si>
  <si>
    <t>Multiplication factor for Fe</t>
  </si>
  <si>
    <t>Multiplication factor for Mn</t>
  </si>
  <si>
    <t>Multiplication factor for Cu</t>
  </si>
  <si>
    <t>Concentration</t>
  </si>
  <si>
    <t>Absorabance</t>
  </si>
  <si>
    <t>EC</t>
  </si>
  <si>
    <t>N</t>
  </si>
  <si>
    <t>P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</si>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</sst>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ptos Narrow"/>
      <family val="2"/>
    </font>
    <font>
      <sz val="18"/>
      <color rgb="FFFF0000"/>
      <name val="Aptos Narrow"/>
      <family val="2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7"/>
  <sheetViews>
    <sheetView topLeftCell="X1" workbookViewId="0">
      <selection activeCell="V15" sqref="V15"/>
    </sheetView>
  </sheetViews>
  <sheetFormatPr defaultColWidth="9.1796875" defaultRowHeight="14.5" x14ac:dyDescent="0.35"/>
  <cols>
    <col min="1" max="2" width="20.7265625" style="3" customWidth="1"/>
    <col min="3" max="3" width="1.54296875" customWidth="1"/>
    <col min="4" max="6" width="13.7265625" style="3" customWidth="1"/>
    <col min="7" max="7" width="1.54296875" style="3" customWidth="1"/>
    <col min="8" max="9" width="13.7265625" style="3" customWidth="1"/>
    <col min="10" max="10" width="1.54296875" style="3" customWidth="1"/>
    <col min="11" max="13" width="13.7265625" style="3" customWidth="1"/>
    <col min="14" max="14" width="1.54296875" style="3" customWidth="1"/>
    <col min="15" max="17" width="13.7265625" style="3" customWidth="1"/>
    <col min="18" max="18" width="1.54296875" style="3" customWidth="1"/>
    <col min="19" max="21" width="13.7265625" style="3" customWidth="1"/>
    <col min="22" max="22" width="1.54296875" style="3" customWidth="1"/>
    <col min="23" max="25" width="13.7265625" style="3" customWidth="1"/>
    <col min="26" max="26" width="1.54296875" style="3" customWidth="1"/>
    <col min="27" max="29" width="13.7265625" style="3" customWidth="1"/>
    <col min="30" max="30" width="1.54296875" style="3" customWidth="1"/>
    <col min="31" max="33" width="13.7265625" style="3" customWidth="1"/>
    <col min="34" max="34" width="1.54296875" style="3" customWidth="1"/>
    <col min="35" max="37" width="13.7265625" style="3" customWidth="1"/>
  </cols>
  <sheetData>
    <row r="1" spans="1:37" ht="78.75" customHeight="1" x14ac:dyDescent="0.35">
      <c r="A1" s="18" t="s">
        <v>30</v>
      </c>
      <c r="B1" s="18"/>
      <c r="D1" s="13" t="s">
        <v>31</v>
      </c>
      <c r="E1" s="14"/>
      <c r="F1" s="14"/>
      <c r="H1" s="18" t="s">
        <v>32</v>
      </c>
      <c r="I1" s="18"/>
      <c r="K1" s="13" t="s">
        <v>33</v>
      </c>
      <c r="L1" s="14"/>
      <c r="M1" s="14"/>
      <c r="O1" s="13" t="s">
        <v>34</v>
      </c>
      <c r="P1" s="14"/>
      <c r="Q1" s="14"/>
      <c r="S1" s="13" t="s">
        <v>35</v>
      </c>
      <c r="T1" s="14"/>
      <c r="U1" s="14"/>
      <c r="W1" s="15" t="s">
        <v>36</v>
      </c>
      <c r="X1" s="16"/>
      <c r="Y1" s="17"/>
      <c r="AA1" s="13" t="s">
        <v>37</v>
      </c>
      <c r="AB1" s="14"/>
      <c r="AC1" s="14"/>
      <c r="AE1" s="13" t="s">
        <v>38</v>
      </c>
      <c r="AF1" s="14"/>
      <c r="AG1" s="14"/>
      <c r="AI1" s="13" t="s">
        <v>39</v>
      </c>
      <c r="AJ1" s="14"/>
      <c r="AK1" s="14"/>
    </row>
    <row r="2" spans="1:37" x14ac:dyDescent="0.35">
      <c r="A2" s="4" t="s">
        <v>0</v>
      </c>
      <c r="B2" s="1" t="s">
        <v>1</v>
      </c>
      <c r="D2" s="1" t="s">
        <v>40</v>
      </c>
      <c r="E2" s="1" t="s">
        <v>41</v>
      </c>
      <c r="F2" s="1"/>
      <c r="H2" s="1" t="s">
        <v>40</v>
      </c>
      <c r="I2" s="1" t="s">
        <v>41</v>
      </c>
      <c r="K2" s="1" t="s">
        <v>40</v>
      </c>
      <c r="L2" s="1" t="s">
        <v>41</v>
      </c>
      <c r="M2" s="1"/>
      <c r="O2" s="1" t="s">
        <v>40</v>
      </c>
      <c r="P2" s="1" t="s">
        <v>41</v>
      </c>
      <c r="Q2" s="1"/>
      <c r="S2" s="1" t="s">
        <v>40</v>
      </c>
      <c r="T2" s="1" t="s">
        <v>41</v>
      </c>
      <c r="U2" s="1"/>
      <c r="W2" s="1" t="s">
        <v>40</v>
      </c>
      <c r="X2" s="1" t="s">
        <v>41</v>
      </c>
      <c r="Y2" s="1"/>
      <c r="AA2" s="1" t="s">
        <v>40</v>
      </c>
      <c r="AB2" s="1" t="s">
        <v>41</v>
      </c>
      <c r="AC2" s="1"/>
      <c r="AE2" s="1" t="s">
        <v>40</v>
      </c>
      <c r="AF2" s="1" t="s">
        <v>41</v>
      </c>
      <c r="AG2" s="1"/>
      <c r="AI2" s="1" t="s">
        <v>40</v>
      </c>
      <c r="AJ2" s="1" t="s">
        <v>41</v>
      </c>
      <c r="AK2" s="1"/>
    </row>
    <row r="3" spans="1:37" x14ac:dyDescent="0.35">
      <c r="A3" s="5">
        <v>3</v>
      </c>
      <c r="B3" s="2">
        <v>1.7090000000000001</v>
      </c>
      <c r="D3" s="1">
        <v>1</v>
      </c>
      <c r="E3" s="1">
        <v>0.27</v>
      </c>
      <c r="F3" s="2">
        <f>ROUND(D3/E3,3)</f>
        <v>3.7040000000000002</v>
      </c>
      <c r="H3" s="1"/>
      <c r="I3" s="1"/>
      <c r="K3" s="1">
        <v>4.2000000000000003E-2</v>
      </c>
      <c r="L3" s="1">
        <v>3.0000000000000001E-3</v>
      </c>
      <c r="M3" s="2">
        <f>ROUND(K3/(100*L3),3)</f>
        <v>0.14000000000000001</v>
      </c>
      <c r="O3" s="1">
        <v>0.4</v>
      </c>
      <c r="P3" s="1">
        <v>3.6999999999999998E-2</v>
      </c>
      <c r="Q3" s="1">
        <f>O3/P3</f>
        <v>10.810810810810812</v>
      </c>
      <c r="S3" s="1">
        <v>4</v>
      </c>
      <c r="T3" s="1">
        <v>2.5000000000000001E-2</v>
      </c>
      <c r="U3" s="1">
        <f>S3/T3</f>
        <v>160</v>
      </c>
      <c r="W3" s="1">
        <v>2</v>
      </c>
      <c r="X3" s="1">
        <v>0.4143</v>
      </c>
      <c r="Y3" s="2">
        <f>ROUND(W3/X3,3)</f>
        <v>4.827</v>
      </c>
      <c r="AA3" s="1">
        <v>5</v>
      </c>
      <c r="AB3" s="1">
        <v>0.182</v>
      </c>
      <c r="AC3" s="2">
        <f>ROUND(AA3/AB3,3)</f>
        <v>27.472999999999999</v>
      </c>
      <c r="AE3" s="1">
        <v>2</v>
      </c>
      <c r="AF3" s="1">
        <v>0.1234</v>
      </c>
      <c r="AG3" s="2">
        <f>ROUND(AE3/AF3,3)</f>
        <v>16.207000000000001</v>
      </c>
      <c r="AI3" s="12">
        <v>2</v>
      </c>
      <c r="AJ3" s="1">
        <v>0.151</v>
      </c>
      <c r="AK3" s="2">
        <f>ROUND(AI3/AJ3,3)</f>
        <v>13.244999999999999</v>
      </c>
    </row>
    <row r="4" spans="1:37" x14ac:dyDescent="0.35">
      <c r="A4" s="5">
        <v>4</v>
      </c>
      <c r="B4" s="2">
        <v>1.66</v>
      </c>
      <c r="D4" s="1">
        <v>2</v>
      </c>
      <c r="E4" s="1">
        <v>0.27300000000000002</v>
      </c>
      <c r="F4" s="2">
        <f t="shared" ref="F4:F12" si="0">ROUND(D4/E4,3)</f>
        <v>7.3259999999999996</v>
      </c>
      <c r="H4" s="1"/>
      <c r="I4" s="1"/>
      <c r="K4" s="1">
        <v>0.21</v>
      </c>
      <c r="L4" s="1">
        <v>1.4999999999999999E-2</v>
      </c>
      <c r="M4" s="2">
        <f t="shared" ref="M4:M13" si="1">ROUND(K4/(100*L4),3)</f>
        <v>0.14000000000000001</v>
      </c>
      <c r="O4" s="1">
        <v>0.8</v>
      </c>
      <c r="P4" s="1">
        <v>0.08</v>
      </c>
      <c r="Q4" s="1">
        <f t="shared" ref="Q4:Q8" si="2">O4/P4</f>
        <v>10</v>
      </c>
      <c r="S4" s="1">
        <v>8</v>
      </c>
      <c r="T4" s="1">
        <v>4.8000000000000001E-2</v>
      </c>
      <c r="U4" s="1">
        <f t="shared" ref="U4:U7" si="3">S4/T4</f>
        <v>166.66666666666666</v>
      </c>
      <c r="W4" s="1">
        <v>4</v>
      </c>
      <c r="X4" s="1">
        <v>0.56589999999999996</v>
      </c>
      <c r="Y4" s="2">
        <f t="shared" ref="Y4:Y7" si="4">ROUND(W4/X4,3)</f>
        <v>7.0679999999999996</v>
      </c>
      <c r="AA4" s="1">
        <v>10</v>
      </c>
      <c r="AB4" s="1">
        <v>0.32519999999999999</v>
      </c>
      <c r="AC4" s="2">
        <f t="shared" ref="AC4:AC7" si="5">ROUND(AA4/AB4,3)</f>
        <v>30.75</v>
      </c>
      <c r="AE4" s="1">
        <v>4</v>
      </c>
      <c r="AF4" s="1">
        <v>0.21110000000000001</v>
      </c>
      <c r="AG4" s="2">
        <f t="shared" ref="AG4:AG7" si="6">ROUND(AE4/AF4,3)</f>
        <v>18.948</v>
      </c>
      <c r="AI4" s="12">
        <v>4</v>
      </c>
      <c r="AJ4" s="1">
        <v>0.24859999999999999</v>
      </c>
      <c r="AK4" s="2">
        <f t="shared" ref="AK4:AK7" si="7">ROUND(AI4/AJ4,3)</f>
        <v>16.09</v>
      </c>
    </row>
    <row r="5" spans="1:37" x14ac:dyDescent="0.35">
      <c r="A5" s="5">
        <v>5</v>
      </c>
      <c r="B5" s="2">
        <v>1.613</v>
      </c>
      <c r="D5" s="1">
        <v>3</v>
      </c>
      <c r="E5" s="1">
        <v>0.27300000000000002</v>
      </c>
      <c r="F5" s="2">
        <f t="shared" si="0"/>
        <v>10.989000000000001</v>
      </c>
      <c r="H5" s="1"/>
      <c r="I5" s="1"/>
      <c r="K5" s="1">
        <v>0.42</v>
      </c>
      <c r="L5" s="1">
        <v>4.3999999999999997E-2</v>
      </c>
      <c r="M5" s="2">
        <f t="shared" si="1"/>
        <v>9.5000000000000001E-2</v>
      </c>
      <c r="O5" s="1">
        <v>1.2</v>
      </c>
      <c r="P5" s="1">
        <v>0.13200000000000001</v>
      </c>
      <c r="Q5" s="1">
        <f t="shared" si="2"/>
        <v>9.0909090909090899</v>
      </c>
      <c r="S5" s="1">
        <v>12</v>
      </c>
      <c r="T5" s="1">
        <v>7.2999999999999995E-2</v>
      </c>
      <c r="U5" s="1">
        <f t="shared" si="3"/>
        <v>164.38356164383563</v>
      </c>
      <c r="W5" s="1">
        <v>6</v>
      </c>
      <c r="X5" s="1">
        <v>0.62129999999999996</v>
      </c>
      <c r="Y5" s="2">
        <f t="shared" si="4"/>
        <v>9.657</v>
      </c>
      <c r="AA5" s="1">
        <v>15</v>
      </c>
      <c r="AB5" s="1">
        <v>0.40129999999999999</v>
      </c>
      <c r="AC5" s="2">
        <f t="shared" si="5"/>
        <v>37.378999999999998</v>
      </c>
      <c r="AE5" s="1">
        <v>6</v>
      </c>
      <c r="AF5" s="1">
        <v>0.28410000000000002</v>
      </c>
      <c r="AG5" s="2">
        <f t="shared" si="6"/>
        <v>21.119</v>
      </c>
      <c r="AI5" s="12">
        <v>6</v>
      </c>
      <c r="AJ5" s="1">
        <v>0.34039999999999998</v>
      </c>
      <c r="AK5" s="2">
        <f t="shared" si="7"/>
        <v>17.626000000000001</v>
      </c>
    </row>
    <row r="6" spans="1:37" x14ac:dyDescent="0.35">
      <c r="A6" s="5">
        <v>6</v>
      </c>
      <c r="B6" s="2">
        <v>1.569</v>
      </c>
      <c r="D6" s="1">
        <v>4</v>
      </c>
      <c r="E6" s="1">
        <v>0.27700000000000002</v>
      </c>
      <c r="F6" s="2">
        <f t="shared" si="0"/>
        <v>14.44</v>
      </c>
      <c r="H6" s="1"/>
      <c r="I6" s="1"/>
      <c r="K6" s="1">
        <v>0.63</v>
      </c>
      <c r="L6" s="1">
        <v>4.7E-2</v>
      </c>
      <c r="M6" s="2">
        <f t="shared" si="1"/>
        <v>0.13400000000000001</v>
      </c>
      <c r="O6" s="1">
        <v>1.6</v>
      </c>
      <c r="P6" s="1">
        <v>0.14199999999999999</v>
      </c>
      <c r="Q6" s="1">
        <f t="shared" si="2"/>
        <v>11.267605633802818</v>
      </c>
      <c r="S6" s="1">
        <v>16</v>
      </c>
      <c r="T6" s="1">
        <v>0.10199999999999999</v>
      </c>
      <c r="U6" s="1">
        <f t="shared" si="3"/>
        <v>156.86274509803923</v>
      </c>
      <c r="W6" s="1">
        <v>8</v>
      </c>
      <c r="X6" s="1">
        <v>0.68659999999999999</v>
      </c>
      <c r="Y6" s="2">
        <f t="shared" si="4"/>
        <v>11.651999999999999</v>
      </c>
      <c r="AA6" s="1">
        <v>20</v>
      </c>
      <c r="AB6" s="1">
        <v>0.48649999999999999</v>
      </c>
      <c r="AC6" s="2">
        <f t="shared" si="5"/>
        <v>41.11</v>
      </c>
      <c r="AE6" s="1">
        <v>8</v>
      </c>
      <c r="AF6" s="1">
        <v>0.36840000000000001</v>
      </c>
      <c r="AG6" s="2">
        <f t="shared" si="6"/>
        <v>21.716000000000001</v>
      </c>
      <c r="AI6" s="12">
        <v>8</v>
      </c>
      <c r="AJ6" s="1">
        <v>0.4758</v>
      </c>
      <c r="AK6" s="2">
        <f t="shared" si="7"/>
        <v>16.814</v>
      </c>
    </row>
    <row r="7" spans="1:37" x14ac:dyDescent="0.35">
      <c r="A7" s="5">
        <v>7</v>
      </c>
      <c r="B7" s="2">
        <v>1.528</v>
      </c>
      <c r="D7" s="1">
        <v>5</v>
      </c>
      <c r="E7" s="1">
        <v>0.27900000000000003</v>
      </c>
      <c r="F7" s="2">
        <f t="shared" si="0"/>
        <v>17.920999999999999</v>
      </c>
      <c r="H7" s="1"/>
      <c r="I7" s="1"/>
      <c r="K7" s="1">
        <v>8.4000000000000005E-2</v>
      </c>
      <c r="L7" s="1">
        <v>5.8000000000000003E-2</v>
      </c>
      <c r="M7" s="2">
        <f t="shared" si="1"/>
        <v>1.4E-2</v>
      </c>
      <c r="O7" s="1">
        <v>2</v>
      </c>
      <c r="P7" s="1">
        <v>0.185</v>
      </c>
      <c r="Q7" s="1">
        <f t="shared" si="2"/>
        <v>10.810810810810811</v>
      </c>
      <c r="S7" s="1">
        <v>20</v>
      </c>
      <c r="T7" s="1">
        <v>0.13200000000000001</v>
      </c>
      <c r="U7" s="1">
        <f t="shared" si="3"/>
        <v>151.5151515151515</v>
      </c>
      <c r="W7" s="1">
        <v>10</v>
      </c>
      <c r="X7" s="1">
        <v>0.7298</v>
      </c>
      <c r="Y7" s="2">
        <f t="shared" si="4"/>
        <v>13.702</v>
      </c>
      <c r="AA7" s="1">
        <v>25</v>
      </c>
      <c r="AB7" s="1">
        <v>0.55700000000000005</v>
      </c>
      <c r="AC7" s="2">
        <f t="shared" si="5"/>
        <v>44.883000000000003</v>
      </c>
      <c r="AE7" s="1">
        <v>10</v>
      </c>
      <c r="AF7" s="1">
        <v>0.46210000000000001</v>
      </c>
      <c r="AG7" s="2">
        <f t="shared" si="6"/>
        <v>21.64</v>
      </c>
      <c r="AI7" s="12">
        <v>10</v>
      </c>
      <c r="AJ7" s="1">
        <v>0.53500000000000003</v>
      </c>
      <c r="AK7" s="2">
        <f t="shared" si="7"/>
        <v>18.692</v>
      </c>
    </row>
    <row r="8" spans="1:37" x14ac:dyDescent="0.35">
      <c r="A8" s="5">
        <v>8</v>
      </c>
      <c r="B8" s="2">
        <v>1.488</v>
      </c>
      <c r="D8" s="1">
        <v>6</v>
      </c>
      <c r="E8" s="1">
        <v>0.28399999999999997</v>
      </c>
      <c r="F8" s="2">
        <f t="shared" si="0"/>
        <v>21.126999999999999</v>
      </c>
      <c r="H8" s="1"/>
      <c r="I8" s="1"/>
      <c r="K8" s="1">
        <v>1.05</v>
      </c>
      <c r="L8" s="1">
        <v>7.4999999999999997E-2</v>
      </c>
      <c r="M8" s="2">
        <f t="shared" si="1"/>
        <v>0.14000000000000001</v>
      </c>
      <c r="O8" s="1">
        <v>2.4</v>
      </c>
      <c r="P8" s="1">
        <v>0.19700000000000001</v>
      </c>
      <c r="Q8" s="1">
        <f t="shared" si="2"/>
        <v>12.182741116751268</v>
      </c>
      <c r="S8" s="1"/>
      <c r="T8" s="1"/>
      <c r="U8" s="1"/>
      <c r="Y8" s="7">
        <f>ROUND(SUM(Y3:Y7)/5,3)</f>
        <v>9.3810000000000002</v>
      </c>
      <c r="AC8" s="7">
        <f>ROUND(SUM(AC3:AC7)/5,3)</f>
        <v>36.319000000000003</v>
      </c>
      <c r="AG8" s="7">
        <f>ROUND(SUM(AG3:AG7)/5,3)</f>
        <v>19.925999999999998</v>
      </c>
      <c r="AK8" s="7">
        <f>ROUND(SUM(AK3:AK7)/5,3)</f>
        <v>16.492999999999999</v>
      </c>
    </row>
    <row r="9" spans="1:37" x14ac:dyDescent="0.35">
      <c r="A9" s="5">
        <v>9</v>
      </c>
      <c r="B9" s="2">
        <v>1.448</v>
      </c>
      <c r="D9" s="1">
        <v>7</v>
      </c>
      <c r="E9" s="1">
        <v>0.28799999999999998</v>
      </c>
      <c r="F9" s="2">
        <f t="shared" si="0"/>
        <v>24.306000000000001</v>
      </c>
      <c r="H9" s="1"/>
      <c r="I9" s="1"/>
      <c r="K9" s="1">
        <v>1.26</v>
      </c>
      <c r="L9" s="1">
        <v>8.2000000000000003E-2</v>
      </c>
      <c r="M9" s="2">
        <f t="shared" si="1"/>
        <v>0.154</v>
      </c>
      <c r="O9" s="1"/>
      <c r="P9" s="1"/>
      <c r="Q9" s="1"/>
      <c r="S9" s="1"/>
      <c r="T9" s="1"/>
      <c r="U9" s="1"/>
    </row>
    <row r="10" spans="1:37" x14ac:dyDescent="0.35">
      <c r="A10" s="5">
        <v>10</v>
      </c>
      <c r="B10" s="2">
        <v>1.411</v>
      </c>
      <c r="D10" s="1">
        <v>8</v>
      </c>
      <c r="E10" s="1">
        <v>0.29199999999999998</v>
      </c>
      <c r="F10" s="2">
        <f t="shared" si="0"/>
        <v>27.396999999999998</v>
      </c>
      <c r="H10" s="1"/>
      <c r="I10" s="1"/>
      <c r="K10" s="1">
        <v>1.47</v>
      </c>
      <c r="L10" s="1">
        <v>9.7000000000000003E-2</v>
      </c>
      <c r="M10" s="2">
        <f t="shared" si="1"/>
        <v>0.152</v>
      </c>
      <c r="O10" s="1"/>
      <c r="P10" s="1"/>
      <c r="Q10" s="1"/>
      <c r="S10" s="1"/>
      <c r="T10" s="1"/>
      <c r="U10" s="1"/>
    </row>
    <row r="11" spans="1:37" x14ac:dyDescent="0.35">
      <c r="A11" s="5">
        <v>11</v>
      </c>
      <c r="B11" s="2">
        <v>1.375</v>
      </c>
      <c r="D11" s="1">
        <v>9</v>
      </c>
      <c r="E11" s="1">
        <v>0.32100000000000001</v>
      </c>
      <c r="F11" s="2">
        <f t="shared" si="0"/>
        <v>28.036999999999999</v>
      </c>
      <c r="H11" s="1"/>
      <c r="I11" s="1"/>
      <c r="K11" s="1">
        <v>1.68</v>
      </c>
      <c r="L11" s="1">
        <v>0.13100000000000001</v>
      </c>
      <c r="M11" s="2">
        <f t="shared" si="1"/>
        <v>0.128</v>
      </c>
      <c r="O11" s="1"/>
      <c r="P11" s="1"/>
      <c r="Q11" s="1"/>
      <c r="S11" s="1"/>
      <c r="T11" s="1"/>
      <c r="U11" s="1"/>
    </row>
    <row r="12" spans="1:37" x14ac:dyDescent="0.35">
      <c r="A12" s="5">
        <v>12</v>
      </c>
      <c r="B12" s="2">
        <v>1.341</v>
      </c>
      <c r="D12" s="1">
        <v>10</v>
      </c>
      <c r="E12" s="1">
        <v>0.32600000000000001</v>
      </c>
      <c r="F12" s="2">
        <f t="shared" si="0"/>
        <v>30.675000000000001</v>
      </c>
      <c r="H12" s="1"/>
      <c r="I12" s="1"/>
      <c r="K12" s="1">
        <v>1.89</v>
      </c>
      <c r="L12" s="1">
        <v>0.13400000000000001</v>
      </c>
      <c r="M12" s="2">
        <f t="shared" si="1"/>
        <v>0.14099999999999999</v>
      </c>
      <c r="O12" s="1"/>
      <c r="P12" s="1"/>
      <c r="Q12" s="1"/>
      <c r="S12" s="1"/>
      <c r="T12" s="1"/>
      <c r="U12" s="1"/>
    </row>
    <row r="13" spans="1:37" x14ac:dyDescent="0.35">
      <c r="A13" s="5">
        <v>13</v>
      </c>
      <c r="B13" s="2">
        <v>1.3089999999999999</v>
      </c>
      <c r="F13" s="11">
        <f>ROUND(SUM(F3:F12)/COUNT(F3:F12),3)</f>
        <v>18.591999999999999</v>
      </c>
      <c r="H13" s="1"/>
      <c r="I13" s="1"/>
      <c r="K13" s="1">
        <v>2.1</v>
      </c>
      <c r="L13" s="1">
        <v>0.151</v>
      </c>
      <c r="M13" s="2">
        <f t="shared" si="1"/>
        <v>0.13900000000000001</v>
      </c>
      <c r="O13" s="1"/>
      <c r="P13" s="1"/>
      <c r="Q13" s="1"/>
      <c r="S13" s="1"/>
      <c r="T13" s="1"/>
      <c r="U13" s="1"/>
    </row>
    <row r="14" spans="1:37" x14ac:dyDescent="0.35">
      <c r="A14" s="5">
        <v>14</v>
      </c>
      <c r="B14" s="2">
        <v>1.2769999999999999</v>
      </c>
      <c r="H14" s="1"/>
      <c r="I14" s="1"/>
      <c r="M14" s="11">
        <f>ROUND(SUM(M3:M13)/COUNT(M3:M13),3)</f>
        <v>0.125</v>
      </c>
      <c r="O14" s="1"/>
      <c r="P14" s="1"/>
      <c r="Q14" s="11">
        <f>(ROUND(SUM(Q3:Q8)/COUNT(Q3:Q8),3))/5</f>
        <v>2.1388000000000003</v>
      </c>
      <c r="S14" s="1"/>
      <c r="T14" s="1"/>
      <c r="U14" s="11">
        <v>43.25</v>
      </c>
    </row>
    <row r="15" spans="1:37" x14ac:dyDescent="0.35">
      <c r="A15" s="5">
        <v>15</v>
      </c>
      <c r="B15" s="2">
        <v>1.2470000000000001</v>
      </c>
      <c r="H15" s="1"/>
      <c r="I15" s="1"/>
      <c r="O15" s="1"/>
      <c r="P15" s="1"/>
      <c r="Q15" s="1"/>
      <c r="S15" s="1"/>
      <c r="T15" s="1"/>
    </row>
    <row r="16" spans="1:37" x14ac:dyDescent="0.35">
      <c r="A16" s="5">
        <v>16</v>
      </c>
      <c r="B16" s="2">
        <v>1.218</v>
      </c>
      <c r="H16" s="1"/>
      <c r="I16" s="1"/>
    </row>
    <row r="17" spans="1:2" x14ac:dyDescent="0.35">
      <c r="A17" s="5">
        <v>17</v>
      </c>
      <c r="B17" s="2">
        <v>1.1890000000000001</v>
      </c>
    </row>
    <row r="18" spans="1:2" x14ac:dyDescent="0.35">
      <c r="A18" s="5">
        <v>18</v>
      </c>
      <c r="B18" s="2">
        <v>1.163</v>
      </c>
    </row>
    <row r="19" spans="1:2" x14ac:dyDescent="0.35">
      <c r="A19" s="5">
        <v>18.2</v>
      </c>
      <c r="B19" s="2">
        <v>1.157</v>
      </c>
    </row>
    <row r="20" spans="1:2" x14ac:dyDescent="0.35">
      <c r="A20" s="5">
        <v>18.399999999999999</v>
      </c>
      <c r="B20" s="2">
        <v>1.1519999999999999</v>
      </c>
    </row>
    <row r="21" spans="1:2" x14ac:dyDescent="0.35">
      <c r="A21" s="5">
        <v>18.600000000000001</v>
      </c>
      <c r="B21" s="2">
        <v>1.147</v>
      </c>
    </row>
    <row r="22" spans="1:2" x14ac:dyDescent="0.35">
      <c r="A22" s="5">
        <v>18.8</v>
      </c>
      <c r="B22" s="2">
        <v>1.1419999999999999</v>
      </c>
    </row>
    <row r="23" spans="1:2" x14ac:dyDescent="0.35">
      <c r="A23" s="5">
        <v>19</v>
      </c>
      <c r="B23" s="2">
        <v>1.1359999999999999</v>
      </c>
    </row>
    <row r="24" spans="1:2" x14ac:dyDescent="0.35">
      <c r="A24" s="5">
        <v>19.2</v>
      </c>
      <c r="B24" s="2">
        <v>1.131</v>
      </c>
    </row>
    <row r="25" spans="1:2" x14ac:dyDescent="0.35">
      <c r="A25" s="5">
        <v>19.399999999999999</v>
      </c>
      <c r="B25" s="2">
        <v>1.127</v>
      </c>
    </row>
    <row r="26" spans="1:2" x14ac:dyDescent="0.35">
      <c r="A26" s="5">
        <v>19.600000000000001</v>
      </c>
      <c r="B26" s="2">
        <v>1.1220000000000001</v>
      </c>
    </row>
    <row r="27" spans="1:2" x14ac:dyDescent="0.35">
      <c r="A27" s="5">
        <v>19.8</v>
      </c>
      <c r="B27" s="2">
        <v>1.117</v>
      </c>
    </row>
    <row r="28" spans="1:2" x14ac:dyDescent="0.35">
      <c r="A28" s="5">
        <v>20</v>
      </c>
      <c r="B28" s="2">
        <v>1.1120000000000001</v>
      </c>
    </row>
    <row r="29" spans="1:2" x14ac:dyDescent="0.35">
      <c r="A29" s="5">
        <v>20.2</v>
      </c>
      <c r="B29" s="2">
        <v>1.107</v>
      </c>
    </row>
    <row r="30" spans="1:2" x14ac:dyDescent="0.35">
      <c r="A30" s="5">
        <v>20.399999999999999</v>
      </c>
      <c r="B30" s="2">
        <v>1.1020000000000001</v>
      </c>
    </row>
    <row r="31" spans="1:2" x14ac:dyDescent="0.35">
      <c r="A31" s="5">
        <v>20.6</v>
      </c>
      <c r="B31" s="2">
        <v>1.097</v>
      </c>
    </row>
    <row r="32" spans="1:2" x14ac:dyDescent="0.35">
      <c r="A32" s="5">
        <v>20.8</v>
      </c>
      <c r="B32" s="2">
        <v>1.0920000000000001</v>
      </c>
    </row>
    <row r="33" spans="1:2" x14ac:dyDescent="0.35">
      <c r="A33" s="5">
        <v>21</v>
      </c>
      <c r="B33" s="2">
        <v>1.087</v>
      </c>
    </row>
    <row r="34" spans="1:2" x14ac:dyDescent="0.35">
      <c r="A34" s="5">
        <v>21.2</v>
      </c>
      <c r="B34" s="2">
        <v>1.0820000000000001</v>
      </c>
    </row>
    <row r="35" spans="1:2" x14ac:dyDescent="0.35">
      <c r="A35" s="5">
        <v>21.4</v>
      </c>
      <c r="B35" s="2">
        <v>1.0780000000000001</v>
      </c>
    </row>
    <row r="36" spans="1:2" x14ac:dyDescent="0.35">
      <c r="A36" s="5">
        <v>21.6</v>
      </c>
      <c r="B36" s="2">
        <v>1.073</v>
      </c>
    </row>
    <row r="37" spans="1:2" x14ac:dyDescent="0.35">
      <c r="A37" s="5">
        <v>21.8</v>
      </c>
      <c r="B37" s="2">
        <v>1.0680000000000001</v>
      </c>
    </row>
    <row r="38" spans="1:2" x14ac:dyDescent="0.35">
      <c r="A38" s="5">
        <v>22</v>
      </c>
      <c r="B38" s="2">
        <v>1.0640000000000001</v>
      </c>
    </row>
    <row r="39" spans="1:2" x14ac:dyDescent="0.35">
      <c r="A39" s="5">
        <v>22.2</v>
      </c>
      <c r="B39" s="2">
        <v>1.06</v>
      </c>
    </row>
    <row r="40" spans="1:2" x14ac:dyDescent="0.35">
      <c r="A40" s="5">
        <v>22.4</v>
      </c>
      <c r="B40" s="2">
        <v>1.0549999999999999</v>
      </c>
    </row>
    <row r="41" spans="1:2" x14ac:dyDescent="0.35">
      <c r="A41" s="5">
        <v>22.6</v>
      </c>
      <c r="B41" s="2">
        <v>1.0509999999999999</v>
      </c>
    </row>
    <row r="42" spans="1:2" x14ac:dyDescent="0.35">
      <c r="A42" s="5">
        <v>22.8</v>
      </c>
      <c r="B42" s="2">
        <v>1.0469999999999999</v>
      </c>
    </row>
    <row r="43" spans="1:2" x14ac:dyDescent="0.35">
      <c r="A43" s="5">
        <v>23</v>
      </c>
      <c r="B43" s="2">
        <v>1.0429999999999999</v>
      </c>
    </row>
    <row r="44" spans="1:2" x14ac:dyDescent="0.35">
      <c r="A44" s="5">
        <v>23.2</v>
      </c>
      <c r="B44" s="2">
        <v>1.038</v>
      </c>
    </row>
    <row r="45" spans="1:2" x14ac:dyDescent="0.35">
      <c r="A45" s="5">
        <v>23.4</v>
      </c>
      <c r="B45" s="2">
        <v>1.034</v>
      </c>
    </row>
    <row r="46" spans="1:2" x14ac:dyDescent="0.35">
      <c r="A46" s="5">
        <v>23.6</v>
      </c>
      <c r="B46" s="2">
        <v>1.0289999999999999</v>
      </c>
    </row>
    <row r="47" spans="1:2" x14ac:dyDescent="0.35">
      <c r="A47" s="5">
        <v>23.8</v>
      </c>
      <c r="B47" s="2">
        <v>1.0249999999999999</v>
      </c>
    </row>
    <row r="48" spans="1:2" x14ac:dyDescent="0.35">
      <c r="A48" s="5">
        <v>24</v>
      </c>
      <c r="B48" s="2">
        <v>1.02</v>
      </c>
    </row>
    <row r="49" spans="1:2" x14ac:dyDescent="0.35">
      <c r="A49" s="5">
        <v>24.2</v>
      </c>
      <c r="B49" s="2">
        <v>1.016</v>
      </c>
    </row>
    <row r="50" spans="1:2" x14ac:dyDescent="0.35">
      <c r="A50" s="5">
        <v>24.4</v>
      </c>
      <c r="B50" s="2">
        <v>1.012</v>
      </c>
    </row>
    <row r="51" spans="1:2" x14ac:dyDescent="0.35">
      <c r="A51" s="5">
        <v>24.6</v>
      </c>
      <c r="B51" s="2">
        <v>1.008</v>
      </c>
    </row>
    <row r="52" spans="1:2" x14ac:dyDescent="0.35">
      <c r="A52" s="5">
        <v>24.8</v>
      </c>
      <c r="B52" s="2">
        <v>1.004</v>
      </c>
    </row>
    <row r="53" spans="1:2" x14ac:dyDescent="0.35">
      <c r="A53" s="5">
        <v>25</v>
      </c>
      <c r="B53" s="2">
        <v>1</v>
      </c>
    </row>
    <row r="54" spans="1:2" x14ac:dyDescent="0.35">
      <c r="A54" s="5">
        <v>25.2</v>
      </c>
      <c r="B54" s="2">
        <v>0.996</v>
      </c>
    </row>
    <row r="55" spans="1:2" x14ac:dyDescent="0.35">
      <c r="A55" s="5">
        <v>25.4</v>
      </c>
      <c r="B55" s="2">
        <v>0.99199999999999999</v>
      </c>
    </row>
    <row r="56" spans="1:2" x14ac:dyDescent="0.35">
      <c r="A56" s="5">
        <v>25.6</v>
      </c>
      <c r="B56" s="2">
        <v>0.98799999999999999</v>
      </c>
    </row>
    <row r="57" spans="1:2" x14ac:dyDescent="0.35">
      <c r="A57" s="5">
        <v>25.8</v>
      </c>
      <c r="B57" s="2">
        <v>0.98299999999999998</v>
      </c>
    </row>
    <row r="58" spans="1:2" x14ac:dyDescent="0.35">
      <c r="A58" s="5">
        <v>26</v>
      </c>
      <c r="B58" s="2">
        <v>0.97899999999999998</v>
      </c>
    </row>
    <row r="59" spans="1:2" x14ac:dyDescent="0.35">
      <c r="A59" s="5">
        <v>26.2</v>
      </c>
      <c r="B59" s="2">
        <v>0.97499999999999998</v>
      </c>
    </row>
    <row r="60" spans="1:2" x14ac:dyDescent="0.35">
      <c r="A60" s="5">
        <v>26.4</v>
      </c>
      <c r="B60" s="2">
        <v>0.97099999999999997</v>
      </c>
    </row>
    <row r="61" spans="1:2" x14ac:dyDescent="0.35">
      <c r="A61" s="5">
        <v>26.6</v>
      </c>
      <c r="B61" s="2">
        <v>0.96699999999999997</v>
      </c>
    </row>
    <row r="62" spans="1:2" x14ac:dyDescent="0.35">
      <c r="A62" s="5">
        <v>26.8</v>
      </c>
      <c r="B62" s="2">
        <v>0.96399999999999997</v>
      </c>
    </row>
    <row r="63" spans="1:2" x14ac:dyDescent="0.35">
      <c r="A63" s="5">
        <v>27</v>
      </c>
      <c r="B63" s="2">
        <v>0.96</v>
      </c>
    </row>
    <row r="64" spans="1:2" x14ac:dyDescent="0.35">
      <c r="A64" s="5">
        <v>27.2</v>
      </c>
      <c r="B64" s="2">
        <v>0.95599999999999996</v>
      </c>
    </row>
    <row r="65" spans="1:2" x14ac:dyDescent="0.35">
      <c r="A65" s="5">
        <v>27.4</v>
      </c>
      <c r="B65" s="2">
        <v>0.95299999999999996</v>
      </c>
    </row>
    <row r="66" spans="1:2" x14ac:dyDescent="0.35">
      <c r="A66" s="5">
        <v>27.6</v>
      </c>
      <c r="B66" s="2">
        <v>0.95</v>
      </c>
    </row>
    <row r="67" spans="1:2" x14ac:dyDescent="0.35">
      <c r="A67" s="5">
        <v>27.8</v>
      </c>
      <c r="B67" s="2">
        <v>0.94699999999999995</v>
      </c>
    </row>
    <row r="68" spans="1:2" x14ac:dyDescent="0.35">
      <c r="A68" s="5">
        <v>28</v>
      </c>
      <c r="B68" s="2">
        <v>0.94299999999999995</v>
      </c>
    </row>
    <row r="69" spans="1:2" x14ac:dyDescent="0.35">
      <c r="A69" s="5">
        <v>28.2</v>
      </c>
      <c r="B69" s="2">
        <v>0.94</v>
      </c>
    </row>
    <row r="70" spans="1:2" x14ac:dyDescent="0.35">
      <c r="A70" s="5">
        <v>28.4</v>
      </c>
      <c r="B70" s="2">
        <v>0.93600000000000005</v>
      </c>
    </row>
    <row r="71" spans="1:2" x14ac:dyDescent="0.35">
      <c r="A71" s="5">
        <v>28.6</v>
      </c>
      <c r="B71" s="2">
        <v>0.93200000000000005</v>
      </c>
    </row>
    <row r="72" spans="1:2" x14ac:dyDescent="0.35">
      <c r="A72" s="5">
        <v>28.8</v>
      </c>
      <c r="B72" s="2">
        <v>0.92900000000000005</v>
      </c>
    </row>
    <row r="73" spans="1:2" x14ac:dyDescent="0.35">
      <c r="A73" s="5">
        <v>29</v>
      </c>
      <c r="B73" s="2">
        <v>0.92500000000000004</v>
      </c>
    </row>
    <row r="74" spans="1:2" x14ac:dyDescent="0.35">
      <c r="A74" s="5">
        <v>29.2</v>
      </c>
      <c r="B74" s="2">
        <v>0.92100000000000004</v>
      </c>
    </row>
    <row r="75" spans="1:2" x14ac:dyDescent="0.35">
      <c r="A75" s="5">
        <v>29.4</v>
      </c>
      <c r="B75" s="2">
        <v>0.91800000000000004</v>
      </c>
    </row>
    <row r="76" spans="1:2" x14ac:dyDescent="0.35">
      <c r="A76" s="5">
        <v>29.6</v>
      </c>
      <c r="B76" s="2">
        <v>0.91400000000000003</v>
      </c>
    </row>
    <row r="77" spans="1:2" x14ac:dyDescent="0.35">
      <c r="A77" s="5">
        <v>29.8</v>
      </c>
      <c r="B77" s="2">
        <v>0.91100000000000003</v>
      </c>
    </row>
    <row r="78" spans="1:2" x14ac:dyDescent="0.35">
      <c r="A78" s="5">
        <v>30</v>
      </c>
      <c r="B78" s="2">
        <v>0.90700000000000003</v>
      </c>
    </row>
    <row r="79" spans="1:2" x14ac:dyDescent="0.35">
      <c r="A79" s="5">
        <v>30.2</v>
      </c>
      <c r="B79" s="2">
        <v>0.90400000000000003</v>
      </c>
    </row>
    <row r="80" spans="1:2" x14ac:dyDescent="0.35">
      <c r="A80" s="5">
        <v>30.4</v>
      </c>
      <c r="B80" s="2">
        <v>0.90100000000000002</v>
      </c>
    </row>
    <row r="81" spans="1:2" x14ac:dyDescent="0.35">
      <c r="A81" s="5">
        <v>30.6</v>
      </c>
      <c r="B81" s="2">
        <v>0.89700000000000002</v>
      </c>
    </row>
    <row r="82" spans="1:2" x14ac:dyDescent="0.35">
      <c r="A82" s="5">
        <v>30.8</v>
      </c>
      <c r="B82" s="2">
        <v>0.89400000000000002</v>
      </c>
    </row>
    <row r="83" spans="1:2" x14ac:dyDescent="0.35">
      <c r="A83" s="5">
        <v>31</v>
      </c>
      <c r="B83" s="2">
        <v>0.89</v>
      </c>
    </row>
    <row r="84" spans="1:2" x14ac:dyDescent="0.35">
      <c r="A84" s="5">
        <v>31.2</v>
      </c>
      <c r="B84" s="2">
        <v>0.88700000000000001</v>
      </c>
    </row>
    <row r="85" spans="1:2" x14ac:dyDescent="0.35">
      <c r="A85" s="5">
        <v>31.4</v>
      </c>
      <c r="B85" s="2">
        <v>0.88400000000000001</v>
      </c>
    </row>
    <row r="86" spans="1:2" x14ac:dyDescent="0.35">
      <c r="A86" s="5">
        <v>31.6</v>
      </c>
      <c r="B86" s="2">
        <v>0.88</v>
      </c>
    </row>
    <row r="87" spans="1:2" x14ac:dyDescent="0.35">
      <c r="A87" s="5">
        <v>31.8</v>
      </c>
      <c r="B87" s="2">
        <v>0.877</v>
      </c>
    </row>
    <row r="88" spans="1:2" x14ac:dyDescent="0.35">
      <c r="A88" s="5">
        <v>32</v>
      </c>
      <c r="B88" s="2">
        <v>0.873</v>
      </c>
    </row>
    <row r="89" spans="1:2" x14ac:dyDescent="0.35">
      <c r="A89" s="5">
        <v>32.200000000000003</v>
      </c>
      <c r="B89" s="2">
        <v>0.87</v>
      </c>
    </row>
    <row r="90" spans="1:2" x14ac:dyDescent="0.35">
      <c r="A90" s="5">
        <v>32.4</v>
      </c>
      <c r="B90" s="2">
        <v>0.86699999999999999</v>
      </c>
    </row>
    <row r="91" spans="1:2" x14ac:dyDescent="0.35">
      <c r="A91" s="5">
        <v>32.6</v>
      </c>
      <c r="B91" s="2">
        <v>0.86399999999999999</v>
      </c>
    </row>
    <row r="92" spans="1:2" x14ac:dyDescent="0.35">
      <c r="A92" s="5">
        <v>32.799999999999997</v>
      </c>
      <c r="B92" s="2">
        <v>0.86099999999999999</v>
      </c>
    </row>
    <row r="93" spans="1:2" x14ac:dyDescent="0.35">
      <c r="A93" s="5">
        <v>33</v>
      </c>
      <c r="B93" s="2">
        <v>0.85799999999999998</v>
      </c>
    </row>
    <row r="94" spans="1:2" x14ac:dyDescent="0.35">
      <c r="A94" s="5">
        <v>34</v>
      </c>
      <c r="B94" s="2">
        <v>0.84299999999999997</v>
      </c>
    </row>
    <row r="95" spans="1:2" x14ac:dyDescent="0.35">
      <c r="A95" s="5">
        <v>35</v>
      </c>
      <c r="B95" s="2">
        <v>0.82899999999999996</v>
      </c>
    </row>
    <row r="96" spans="1:2" x14ac:dyDescent="0.35">
      <c r="A96" s="5">
        <v>36</v>
      </c>
      <c r="B96" s="2">
        <v>0.81499999999999995</v>
      </c>
    </row>
    <row r="97" spans="1:2" x14ac:dyDescent="0.35">
      <c r="A97" s="5">
        <v>37</v>
      </c>
      <c r="B97" s="2">
        <v>0.80100000000000005</v>
      </c>
    </row>
    <row r="98" spans="1:2" x14ac:dyDescent="0.35">
      <c r="A98" s="5">
        <v>38</v>
      </c>
      <c r="B98" s="2">
        <v>0.78800000000000003</v>
      </c>
    </row>
    <row r="99" spans="1:2" x14ac:dyDescent="0.35">
      <c r="A99" s="5">
        <v>39</v>
      </c>
      <c r="B99" s="2">
        <v>0.77500000000000002</v>
      </c>
    </row>
    <row r="100" spans="1:2" x14ac:dyDescent="0.35">
      <c r="A100" s="5">
        <v>40</v>
      </c>
      <c r="B100" s="2">
        <v>0.76300000000000001</v>
      </c>
    </row>
    <row r="101" spans="1:2" x14ac:dyDescent="0.35">
      <c r="A101" s="5">
        <v>41</v>
      </c>
      <c r="B101" s="2">
        <v>0.75</v>
      </c>
    </row>
    <row r="102" spans="1:2" x14ac:dyDescent="0.35">
      <c r="A102" s="5">
        <v>42</v>
      </c>
      <c r="B102" s="2">
        <v>0.73899999999999999</v>
      </c>
    </row>
    <row r="103" spans="1:2" x14ac:dyDescent="0.35">
      <c r="A103" s="5">
        <v>43</v>
      </c>
      <c r="B103" s="2">
        <v>0.72699999999999998</v>
      </c>
    </row>
    <row r="104" spans="1:2" x14ac:dyDescent="0.35">
      <c r="A104" s="5">
        <v>44</v>
      </c>
      <c r="B104" s="2">
        <v>0.71599999999999997</v>
      </c>
    </row>
    <row r="105" spans="1:2" x14ac:dyDescent="0.35">
      <c r="A105" s="5">
        <v>45</v>
      </c>
      <c r="B105" s="2">
        <v>0.70499999999999996</v>
      </c>
    </row>
    <row r="106" spans="1:2" x14ac:dyDescent="0.35">
      <c r="A106" s="5">
        <v>46</v>
      </c>
      <c r="B106" s="2">
        <v>0.69399999999999995</v>
      </c>
    </row>
    <row r="107" spans="1:2" x14ac:dyDescent="0.35">
      <c r="A107" s="5">
        <v>47</v>
      </c>
      <c r="B107" s="2">
        <v>0.68300000000000005</v>
      </c>
    </row>
  </sheetData>
  <mergeCells count="10">
    <mergeCell ref="A1:B1"/>
    <mergeCell ref="H1:I1"/>
    <mergeCell ref="K1:M1"/>
    <mergeCell ref="D1:F1"/>
    <mergeCell ref="O1:Q1"/>
    <mergeCell ref="AA1:AC1"/>
    <mergeCell ref="AE1:AG1"/>
    <mergeCell ref="AI1:AK1"/>
    <mergeCell ref="W1:Y1"/>
    <mergeCell ref="S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topLeftCell="A108" workbookViewId="0">
      <selection activeCell="I7" sqref="I7"/>
    </sheetView>
  </sheetViews>
  <sheetFormatPr defaultRowHeight="14.5" x14ac:dyDescent="0.35"/>
  <cols>
    <col min="3" max="3" width="29.7265625" bestFit="1" customWidth="1"/>
    <col min="4" max="4" width="12.08984375" bestFit="1" customWidth="1"/>
    <col min="5" max="5" width="19.7265625" bestFit="1" customWidth="1"/>
    <col min="6" max="6" width="29.81640625" bestFit="1" customWidth="1"/>
  </cols>
  <sheetData>
    <row r="1" spans="1:6" ht="29" x14ac:dyDescent="0.35">
      <c r="A1" s="6" t="s">
        <v>2</v>
      </c>
      <c r="B1" s="7" t="s">
        <v>3</v>
      </c>
      <c r="C1" s="8" t="s">
        <v>4</v>
      </c>
      <c r="D1" s="8" t="s">
        <v>5</v>
      </c>
      <c r="E1" s="8" t="s">
        <v>6</v>
      </c>
      <c r="F1" s="7" t="s">
        <v>7</v>
      </c>
    </row>
    <row r="2" spans="1:6" x14ac:dyDescent="0.35">
      <c r="A2" s="1">
        <v>1</v>
      </c>
      <c r="B2" s="7">
        <v>6.78</v>
      </c>
      <c r="C2" s="8">
        <v>0.15</v>
      </c>
      <c r="D2" s="8">
        <v>27</v>
      </c>
      <c r="E2" s="8">
        <f>IF(D2="","",VLOOKUP(D2,'Multiplication factors'!$A$3:$B$107,2,1))</f>
        <v>0.96</v>
      </c>
      <c r="F2" s="7">
        <f>IF(D2="","",ROUND(C2*E2,2))</f>
        <v>0.14000000000000001</v>
      </c>
    </row>
    <row r="3" spans="1:6" x14ac:dyDescent="0.35">
      <c r="A3" s="1">
        <v>2</v>
      </c>
      <c r="B3" s="7">
        <v>6.85</v>
      </c>
      <c r="C3" s="8">
        <v>0.19</v>
      </c>
      <c r="D3" s="8">
        <v>27</v>
      </c>
      <c r="E3" s="8">
        <f>IF(D3="","",VLOOKUP(D3,'Multiplication factors'!$A$3:$B$107,2,1))</f>
        <v>0.96</v>
      </c>
      <c r="F3" s="7">
        <f t="shared" ref="F3:F66" si="0">IF(D3="","",ROUND(C3*E3,2))</f>
        <v>0.18</v>
      </c>
    </row>
    <row r="4" spans="1:6" x14ac:dyDescent="0.35">
      <c r="A4" s="1">
        <v>3</v>
      </c>
      <c r="B4" s="7">
        <v>6.71</v>
      </c>
      <c r="C4" s="8">
        <v>0.37</v>
      </c>
      <c r="D4" s="8">
        <v>27</v>
      </c>
      <c r="E4" s="8">
        <f>IF(D4="","",VLOOKUP(D4,'Multiplication factors'!$A$3:$B$107,2,1))</f>
        <v>0.96</v>
      </c>
      <c r="F4" s="7">
        <f t="shared" si="0"/>
        <v>0.36</v>
      </c>
    </row>
    <row r="5" spans="1:6" x14ac:dyDescent="0.35">
      <c r="A5" s="1">
        <v>4</v>
      </c>
      <c r="B5" s="7">
        <v>6.66</v>
      </c>
      <c r="C5" s="8">
        <v>0.23</v>
      </c>
      <c r="D5" s="8">
        <v>27</v>
      </c>
      <c r="E5" s="8">
        <f>IF(D5="","",VLOOKUP(D5,'Multiplication factors'!$A$3:$B$107,2,1))</f>
        <v>0.96</v>
      </c>
      <c r="F5" s="7">
        <f t="shared" si="0"/>
        <v>0.22</v>
      </c>
    </row>
    <row r="6" spans="1:6" x14ac:dyDescent="0.35">
      <c r="A6" s="1">
        <v>5</v>
      </c>
      <c r="B6" s="7">
        <v>6.99</v>
      </c>
      <c r="C6" s="8">
        <v>0.28999999999999998</v>
      </c>
      <c r="D6" s="8">
        <v>27</v>
      </c>
      <c r="E6" s="8">
        <f>IF(D6="","",VLOOKUP(D6,'Multiplication factors'!$A$3:$B$107,2,1))</f>
        <v>0.96</v>
      </c>
      <c r="F6" s="7">
        <f t="shared" si="0"/>
        <v>0.28000000000000003</v>
      </c>
    </row>
    <row r="7" spans="1:6" x14ac:dyDescent="0.35">
      <c r="A7" s="1">
        <v>6</v>
      </c>
      <c r="B7" s="7">
        <v>6.71</v>
      </c>
      <c r="C7" s="8">
        <v>0.23</v>
      </c>
      <c r="D7" s="8">
        <v>27</v>
      </c>
      <c r="E7" s="8">
        <f>IF(D7="","",VLOOKUP(D7,'Multiplication factors'!$A$3:$B$107,2,1))</f>
        <v>0.96</v>
      </c>
      <c r="F7" s="7">
        <f t="shared" si="0"/>
        <v>0.22</v>
      </c>
    </row>
    <row r="8" spans="1:6" x14ac:dyDescent="0.35">
      <c r="A8" s="1">
        <v>7</v>
      </c>
      <c r="B8" s="7">
        <v>6.92</v>
      </c>
      <c r="C8" s="8">
        <v>0.41</v>
      </c>
      <c r="D8" s="8">
        <v>27</v>
      </c>
      <c r="E8" s="8">
        <f>IF(D8="","",VLOOKUP(D8,'Multiplication factors'!$A$3:$B$107,2,1))</f>
        <v>0.96</v>
      </c>
      <c r="F8" s="7">
        <f t="shared" si="0"/>
        <v>0.39</v>
      </c>
    </row>
    <row r="9" spans="1:6" x14ac:dyDescent="0.35">
      <c r="A9" s="1">
        <v>8</v>
      </c>
      <c r="B9" s="7">
        <v>6.66</v>
      </c>
      <c r="C9" s="8">
        <v>0.36</v>
      </c>
      <c r="D9" s="8">
        <v>27</v>
      </c>
      <c r="E9" s="8">
        <f>IF(D9="","",VLOOKUP(D9,'Multiplication factors'!$A$3:$B$107,2,1))</f>
        <v>0.96</v>
      </c>
      <c r="F9" s="7">
        <f t="shared" si="0"/>
        <v>0.35</v>
      </c>
    </row>
    <row r="10" spans="1:6" x14ac:dyDescent="0.35">
      <c r="A10" s="1">
        <v>9</v>
      </c>
      <c r="B10" s="7">
        <v>6.91</v>
      </c>
      <c r="C10" s="8">
        <v>0.22</v>
      </c>
      <c r="D10" s="8">
        <v>27</v>
      </c>
      <c r="E10" s="8">
        <f>IF(D10="","",VLOOKUP(D10,'Multiplication factors'!$A$3:$B$107,2,1))</f>
        <v>0.96</v>
      </c>
      <c r="F10" s="7">
        <f t="shared" si="0"/>
        <v>0.21</v>
      </c>
    </row>
    <row r="11" spans="1:6" x14ac:dyDescent="0.35">
      <c r="A11" s="1">
        <v>10</v>
      </c>
      <c r="B11" s="7">
        <v>7.05</v>
      </c>
      <c r="C11" s="8">
        <v>0.45</v>
      </c>
      <c r="D11" s="8">
        <v>27</v>
      </c>
      <c r="E11" s="8">
        <f>IF(D11="","",VLOOKUP(D11,'Multiplication factors'!$A$3:$B$107,2,1))</f>
        <v>0.96</v>
      </c>
      <c r="F11" s="7">
        <f t="shared" si="0"/>
        <v>0.43</v>
      </c>
    </row>
    <row r="12" spans="1:6" x14ac:dyDescent="0.35">
      <c r="A12" s="1">
        <v>11</v>
      </c>
      <c r="B12" s="7">
        <v>7.02</v>
      </c>
      <c r="C12" s="8">
        <v>0.25</v>
      </c>
      <c r="D12" s="8">
        <v>27</v>
      </c>
      <c r="E12" s="8">
        <f>IF(D12="","",VLOOKUP(D12,'Multiplication factors'!$A$3:$B$107,2,1))</f>
        <v>0.96</v>
      </c>
      <c r="F12" s="7">
        <f t="shared" si="0"/>
        <v>0.24</v>
      </c>
    </row>
    <row r="13" spans="1:6" x14ac:dyDescent="0.35">
      <c r="A13" s="1">
        <v>12</v>
      </c>
      <c r="B13" s="7">
        <v>6.89</v>
      </c>
      <c r="C13" s="8">
        <v>0.18</v>
      </c>
      <c r="D13" s="8">
        <v>27</v>
      </c>
      <c r="E13" s="8">
        <f>IF(D13="","",VLOOKUP(D13,'Multiplication factors'!$A$3:$B$107,2,1))</f>
        <v>0.96</v>
      </c>
      <c r="F13" s="7">
        <f t="shared" si="0"/>
        <v>0.17</v>
      </c>
    </row>
    <row r="14" spans="1:6" x14ac:dyDescent="0.35">
      <c r="A14" s="1">
        <v>13</v>
      </c>
      <c r="B14" s="7">
        <v>6.77</v>
      </c>
      <c r="C14" s="8">
        <v>0.15</v>
      </c>
      <c r="D14" s="8">
        <v>27</v>
      </c>
      <c r="E14" s="8">
        <f>IF(D14="","",VLOOKUP(D14,'Multiplication factors'!$A$3:$B$107,2,1))</f>
        <v>0.96</v>
      </c>
      <c r="F14" s="7">
        <f t="shared" si="0"/>
        <v>0.14000000000000001</v>
      </c>
    </row>
    <row r="15" spans="1:6" x14ac:dyDescent="0.35">
      <c r="A15" s="1">
        <v>14</v>
      </c>
      <c r="B15" s="7">
        <v>6.64</v>
      </c>
      <c r="C15" s="8">
        <v>0.22</v>
      </c>
      <c r="D15" s="8">
        <v>27</v>
      </c>
      <c r="E15" s="8">
        <f>IF(D15="","",VLOOKUP(D15,'Multiplication factors'!$A$3:$B$107,2,1))</f>
        <v>0.96</v>
      </c>
      <c r="F15" s="7">
        <f t="shared" si="0"/>
        <v>0.21</v>
      </c>
    </row>
    <row r="16" spans="1:6" x14ac:dyDescent="0.35">
      <c r="A16" s="1">
        <v>15</v>
      </c>
      <c r="B16" s="7">
        <v>6.7</v>
      </c>
      <c r="C16" s="8">
        <v>0.31</v>
      </c>
      <c r="D16" s="8">
        <v>27</v>
      </c>
      <c r="E16" s="8">
        <f>IF(D16="","",VLOOKUP(D16,'Multiplication factors'!$A$3:$B$107,2,1))</f>
        <v>0.96</v>
      </c>
      <c r="F16" s="7">
        <f t="shared" si="0"/>
        <v>0.3</v>
      </c>
    </row>
    <row r="17" spans="1:6" x14ac:dyDescent="0.35">
      <c r="A17" s="1">
        <v>16</v>
      </c>
      <c r="B17" s="7">
        <v>6.75</v>
      </c>
      <c r="C17" s="8">
        <v>0.24</v>
      </c>
      <c r="D17" s="8">
        <v>27</v>
      </c>
      <c r="E17" s="8">
        <f>IF(D17="","",VLOOKUP(D17,'Multiplication factors'!$A$3:$B$107,2,1))</f>
        <v>0.96</v>
      </c>
      <c r="F17" s="7">
        <f t="shared" si="0"/>
        <v>0.23</v>
      </c>
    </row>
    <row r="18" spans="1:6" x14ac:dyDescent="0.35">
      <c r="A18" s="1">
        <v>17</v>
      </c>
      <c r="B18" s="7">
        <v>6.89</v>
      </c>
      <c r="C18" s="8">
        <v>0.28999999999999998</v>
      </c>
      <c r="D18" s="8">
        <v>27</v>
      </c>
      <c r="E18" s="8">
        <f>IF(D18="","",VLOOKUP(D18,'Multiplication factors'!$A$3:$B$107,2,1))</f>
        <v>0.96</v>
      </c>
      <c r="F18" s="7">
        <f t="shared" si="0"/>
        <v>0.28000000000000003</v>
      </c>
    </row>
    <row r="19" spans="1:6" x14ac:dyDescent="0.35">
      <c r="A19" s="1">
        <v>18</v>
      </c>
      <c r="B19" s="7">
        <v>6.6</v>
      </c>
      <c r="C19" s="8">
        <v>0.2</v>
      </c>
      <c r="D19" s="8">
        <v>27</v>
      </c>
      <c r="E19" s="8">
        <f>IF(D19="","",VLOOKUP(D19,'Multiplication factors'!$A$3:$B$107,2,1))</f>
        <v>0.96</v>
      </c>
      <c r="F19" s="7">
        <f t="shared" si="0"/>
        <v>0.19</v>
      </c>
    </row>
    <row r="20" spans="1:6" x14ac:dyDescent="0.35">
      <c r="A20" s="1">
        <v>19</v>
      </c>
      <c r="B20" s="7">
        <v>6.79</v>
      </c>
      <c r="C20" s="8">
        <v>0.27</v>
      </c>
      <c r="D20" s="8">
        <v>27</v>
      </c>
      <c r="E20" s="8">
        <f>IF(D20="","",VLOOKUP(D20,'Multiplication factors'!$A$3:$B$107,2,1))</f>
        <v>0.96</v>
      </c>
      <c r="F20" s="7">
        <f t="shared" si="0"/>
        <v>0.26</v>
      </c>
    </row>
    <row r="21" spans="1:6" x14ac:dyDescent="0.35">
      <c r="A21" s="1">
        <v>20</v>
      </c>
      <c r="B21" s="7">
        <v>6.89</v>
      </c>
      <c r="C21" s="8">
        <v>0.22</v>
      </c>
      <c r="D21" s="8">
        <v>27</v>
      </c>
      <c r="E21" s="8">
        <f>IF(D21="","",VLOOKUP(D21,'Multiplication factors'!$A$3:$B$107,2,1))</f>
        <v>0.96</v>
      </c>
      <c r="F21" s="7">
        <f t="shared" si="0"/>
        <v>0.21</v>
      </c>
    </row>
    <row r="22" spans="1:6" x14ac:dyDescent="0.35">
      <c r="A22" s="1">
        <v>21</v>
      </c>
      <c r="B22" s="7">
        <v>6.71</v>
      </c>
      <c r="C22" s="8">
        <v>0.28999999999999998</v>
      </c>
      <c r="D22" s="8">
        <v>27</v>
      </c>
      <c r="E22" s="8">
        <f>IF(D22="","",VLOOKUP(D22,'Multiplication factors'!$A$3:$B$107,2,1))</f>
        <v>0.96</v>
      </c>
      <c r="F22" s="7">
        <f t="shared" si="0"/>
        <v>0.28000000000000003</v>
      </c>
    </row>
    <row r="23" spans="1:6" x14ac:dyDescent="0.35">
      <c r="A23" s="1">
        <v>22</v>
      </c>
      <c r="B23" s="7">
        <v>6.77</v>
      </c>
      <c r="C23" s="8">
        <v>0.19</v>
      </c>
      <c r="D23" s="8">
        <v>27</v>
      </c>
      <c r="E23" s="8">
        <f>IF(D23="","",VLOOKUP(D23,'Multiplication factors'!$A$3:$B$107,2,1))</f>
        <v>0.96</v>
      </c>
      <c r="F23" s="7">
        <f t="shared" si="0"/>
        <v>0.18</v>
      </c>
    </row>
    <row r="24" spans="1:6" x14ac:dyDescent="0.35">
      <c r="A24" s="1">
        <v>23</v>
      </c>
      <c r="B24" s="7">
        <v>6.73</v>
      </c>
      <c r="C24" s="8">
        <v>0.27</v>
      </c>
      <c r="D24" s="8">
        <v>27</v>
      </c>
      <c r="E24" s="8">
        <f>IF(D24="","",VLOOKUP(D24,'Multiplication factors'!$A$3:$B$107,2,1))</f>
        <v>0.96</v>
      </c>
      <c r="F24" s="7">
        <f t="shared" si="0"/>
        <v>0.26</v>
      </c>
    </row>
    <row r="25" spans="1:6" x14ac:dyDescent="0.35">
      <c r="A25" s="1">
        <v>24</v>
      </c>
      <c r="B25" s="7">
        <v>6.67</v>
      </c>
      <c r="C25" s="8">
        <v>0.23</v>
      </c>
      <c r="D25" s="8">
        <v>27</v>
      </c>
      <c r="E25" s="8">
        <f>IF(D25="","",VLOOKUP(D25,'Multiplication factors'!$A$3:$B$107,2,1))</f>
        <v>0.96</v>
      </c>
      <c r="F25" s="7">
        <f t="shared" si="0"/>
        <v>0.22</v>
      </c>
    </row>
    <row r="26" spans="1:6" x14ac:dyDescent="0.35">
      <c r="A26" s="1">
        <v>25</v>
      </c>
      <c r="B26" s="7">
        <v>6.81</v>
      </c>
      <c r="C26" s="8">
        <v>0.23</v>
      </c>
      <c r="D26" s="8">
        <v>27</v>
      </c>
      <c r="E26" s="8">
        <f>IF(D26="","",VLOOKUP(D26,'Multiplication factors'!$A$3:$B$107,2,1))</f>
        <v>0.96</v>
      </c>
      <c r="F26" s="7">
        <f t="shared" si="0"/>
        <v>0.22</v>
      </c>
    </row>
    <row r="27" spans="1:6" x14ac:dyDescent="0.35">
      <c r="A27" s="1">
        <v>26</v>
      </c>
      <c r="B27" s="7">
        <v>6.94</v>
      </c>
      <c r="C27" s="8">
        <v>0.28999999999999998</v>
      </c>
      <c r="D27" s="8">
        <v>27</v>
      </c>
      <c r="E27" s="8">
        <f>IF(D27="","",VLOOKUP(D27,'Multiplication factors'!$A$3:$B$107,2,1))</f>
        <v>0.96</v>
      </c>
      <c r="F27" s="7">
        <f t="shared" si="0"/>
        <v>0.28000000000000003</v>
      </c>
    </row>
    <row r="28" spans="1:6" x14ac:dyDescent="0.35">
      <c r="A28" s="1">
        <v>27</v>
      </c>
      <c r="B28" s="7">
        <v>6.95</v>
      </c>
      <c r="C28" s="8">
        <v>0.21</v>
      </c>
      <c r="D28" s="8">
        <v>27</v>
      </c>
      <c r="E28" s="8">
        <f>IF(D28="","",VLOOKUP(D28,'Multiplication factors'!$A$3:$B$107,2,1))</f>
        <v>0.96</v>
      </c>
      <c r="F28" s="7">
        <f t="shared" si="0"/>
        <v>0.2</v>
      </c>
    </row>
    <row r="29" spans="1:6" x14ac:dyDescent="0.35">
      <c r="A29" s="1">
        <v>28</v>
      </c>
      <c r="B29" s="7">
        <v>6.78</v>
      </c>
      <c r="C29" s="8">
        <v>0.3</v>
      </c>
      <c r="D29" s="8">
        <v>27</v>
      </c>
      <c r="E29" s="8">
        <f>IF(D29="","",VLOOKUP(D29,'Multiplication factors'!$A$3:$B$107,2,1))</f>
        <v>0.96</v>
      </c>
      <c r="F29" s="7">
        <f t="shared" si="0"/>
        <v>0.28999999999999998</v>
      </c>
    </row>
    <row r="30" spans="1:6" x14ac:dyDescent="0.35">
      <c r="A30" s="1">
        <v>29</v>
      </c>
      <c r="B30" s="7">
        <v>6.83</v>
      </c>
      <c r="C30" s="8">
        <v>0.22</v>
      </c>
      <c r="D30" s="8">
        <v>27</v>
      </c>
      <c r="E30" s="8">
        <f>IF(D30="","",VLOOKUP(D30,'Multiplication factors'!$A$3:$B$107,2,1))</f>
        <v>0.96</v>
      </c>
      <c r="F30" s="7">
        <f t="shared" si="0"/>
        <v>0.21</v>
      </c>
    </row>
    <row r="31" spans="1:6" x14ac:dyDescent="0.35">
      <c r="A31" s="1">
        <v>30</v>
      </c>
      <c r="B31" s="7">
        <v>6.98</v>
      </c>
      <c r="C31" s="8">
        <v>0.34</v>
      </c>
      <c r="D31" s="8">
        <v>27</v>
      </c>
      <c r="E31" s="8">
        <f>IF(D31="","",VLOOKUP(D31,'Multiplication factors'!$A$3:$B$107,2,1))</f>
        <v>0.96</v>
      </c>
      <c r="F31" s="7">
        <f t="shared" si="0"/>
        <v>0.33</v>
      </c>
    </row>
    <row r="32" spans="1:6" x14ac:dyDescent="0.35">
      <c r="A32" s="1">
        <v>31</v>
      </c>
      <c r="B32" s="7">
        <v>6.71</v>
      </c>
      <c r="C32" s="8">
        <v>0.7</v>
      </c>
      <c r="D32" s="8">
        <v>27</v>
      </c>
      <c r="E32" s="8">
        <f>IF(D32="","",VLOOKUP(D32,'Multiplication factors'!$A$3:$B$107,2,1))</f>
        <v>0.96</v>
      </c>
      <c r="F32" s="7">
        <f t="shared" si="0"/>
        <v>0.67</v>
      </c>
    </row>
    <row r="33" spans="1:6" x14ac:dyDescent="0.35">
      <c r="A33" s="1">
        <v>32</v>
      </c>
      <c r="B33" s="7">
        <v>6.46</v>
      </c>
      <c r="C33" s="8">
        <v>0.28000000000000003</v>
      </c>
      <c r="D33" s="8">
        <v>27</v>
      </c>
      <c r="E33" s="8">
        <f>IF(D33="","",VLOOKUP(D33,'Multiplication factors'!$A$3:$B$107,2,1))</f>
        <v>0.96</v>
      </c>
      <c r="F33" s="7">
        <f t="shared" si="0"/>
        <v>0.27</v>
      </c>
    </row>
    <row r="34" spans="1:6" x14ac:dyDescent="0.35">
      <c r="A34" s="1">
        <v>33</v>
      </c>
      <c r="B34" s="7">
        <v>6.58</v>
      </c>
      <c r="C34" s="8">
        <v>0.27</v>
      </c>
      <c r="D34" s="8">
        <v>27</v>
      </c>
      <c r="E34" s="8">
        <f>IF(D34="","",VLOOKUP(D34,'Multiplication factors'!$A$3:$B$107,2,1))</f>
        <v>0.96</v>
      </c>
      <c r="F34" s="7">
        <f t="shared" si="0"/>
        <v>0.26</v>
      </c>
    </row>
    <row r="35" spans="1:6" x14ac:dyDescent="0.35">
      <c r="A35" s="1">
        <v>34</v>
      </c>
      <c r="B35" s="7">
        <v>6.52</v>
      </c>
      <c r="C35" s="8">
        <v>0.32</v>
      </c>
      <c r="D35" s="8">
        <v>27</v>
      </c>
      <c r="E35" s="8">
        <f>IF(D35="","",VLOOKUP(D35,'Multiplication factors'!$A$3:$B$107,2,1))</f>
        <v>0.96</v>
      </c>
      <c r="F35" s="7">
        <f t="shared" si="0"/>
        <v>0.31</v>
      </c>
    </row>
    <row r="36" spans="1:6" x14ac:dyDescent="0.35">
      <c r="A36" s="1">
        <v>35</v>
      </c>
      <c r="B36" s="7">
        <v>6.84</v>
      </c>
      <c r="C36" s="8">
        <v>0.24</v>
      </c>
      <c r="D36" s="8">
        <v>27</v>
      </c>
      <c r="E36" s="8">
        <f>IF(D36="","",VLOOKUP(D36,'Multiplication factors'!$A$3:$B$107,2,1))</f>
        <v>0.96</v>
      </c>
      <c r="F36" s="7">
        <f t="shared" si="0"/>
        <v>0.23</v>
      </c>
    </row>
    <row r="37" spans="1:6" x14ac:dyDescent="0.35">
      <c r="A37" s="1">
        <v>36</v>
      </c>
      <c r="B37" s="7">
        <v>6.56</v>
      </c>
      <c r="C37" s="8">
        <v>0.22</v>
      </c>
      <c r="D37" s="8">
        <v>27</v>
      </c>
      <c r="E37" s="8">
        <f>IF(D37="","",VLOOKUP(D37,'Multiplication factors'!$A$3:$B$107,2,1))</f>
        <v>0.96</v>
      </c>
      <c r="F37" s="7">
        <f t="shared" si="0"/>
        <v>0.21</v>
      </c>
    </row>
    <row r="38" spans="1:6" x14ac:dyDescent="0.35">
      <c r="A38" s="1">
        <v>37</v>
      </c>
      <c r="B38" s="7">
        <v>6.42</v>
      </c>
      <c r="C38" s="8">
        <v>0.21</v>
      </c>
      <c r="D38" s="8">
        <v>27</v>
      </c>
      <c r="E38" s="8">
        <f>IF(D38="","",VLOOKUP(D38,'Multiplication factors'!$A$3:$B$107,2,1))</f>
        <v>0.96</v>
      </c>
      <c r="F38" s="7">
        <f t="shared" si="0"/>
        <v>0.2</v>
      </c>
    </row>
    <row r="39" spans="1:6" x14ac:dyDescent="0.35">
      <c r="A39" s="1">
        <v>38</v>
      </c>
      <c r="B39" s="7">
        <v>6.45</v>
      </c>
      <c r="C39" s="8">
        <v>0.23</v>
      </c>
      <c r="D39" s="8">
        <v>27</v>
      </c>
      <c r="E39" s="8">
        <f>IF(D39="","",VLOOKUP(D39,'Multiplication factors'!$A$3:$B$107,2,1))</f>
        <v>0.96</v>
      </c>
      <c r="F39" s="7">
        <f t="shared" si="0"/>
        <v>0.22</v>
      </c>
    </row>
    <row r="40" spans="1:6" x14ac:dyDescent="0.35">
      <c r="A40" s="1">
        <v>39</v>
      </c>
      <c r="B40" s="7">
        <v>6.59</v>
      </c>
      <c r="C40" s="8">
        <v>0.22</v>
      </c>
      <c r="D40" s="8">
        <v>27</v>
      </c>
      <c r="E40" s="8">
        <f>IF(D40="","",VLOOKUP(D40,'Multiplication factors'!$A$3:$B$107,2,1))</f>
        <v>0.96</v>
      </c>
      <c r="F40" s="7">
        <f t="shared" si="0"/>
        <v>0.21</v>
      </c>
    </row>
    <row r="41" spans="1:6" x14ac:dyDescent="0.35">
      <c r="A41" s="1">
        <v>40</v>
      </c>
      <c r="B41" s="7">
        <v>6.87</v>
      </c>
      <c r="C41" s="8">
        <v>0.21</v>
      </c>
      <c r="D41" s="8">
        <v>27</v>
      </c>
      <c r="E41" s="8">
        <f>IF(D41="","",VLOOKUP(D41,'Multiplication factors'!$A$3:$B$107,2,1))</f>
        <v>0.96</v>
      </c>
      <c r="F41" s="7">
        <f t="shared" si="0"/>
        <v>0.2</v>
      </c>
    </row>
    <row r="42" spans="1:6" x14ac:dyDescent="0.35">
      <c r="A42" s="1">
        <v>41</v>
      </c>
      <c r="B42" s="7">
        <v>6.88</v>
      </c>
      <c r="C42" s="8">
        <v>0.32</v>
      </c>
      <c r="D42" s="8">
        <v>27</v>
      </c>
      <c r="E42" s="8">
        <f>IF(D42="","",VLOOKUP(D42,'Multiplication factors'!$A$3:$B$107,2,1))</f>
        <v>0.96</v>
      </c>
      <c r="F42" s="7">
        <f t="shared" si="0"/>
        <v>0.31</v>
      </c>
    </row>
    <row r="43" spans="1:6" x14ac:dyDescent="0.35">
      <c r="A43" s="1">
        <v>42</v>
      </c>
      <c r="B43" s="7">
        <v>6.98</v>
      </c>
      <c r="C43" s="8">
        <v>0.33</v>
      </c>
      <c r="D43" s="8">
        <v>27</v>
      </c>
      <c r="E43" s="8">
        <f>IF(D43="","",VLOOKUP(D43,'Multiplication factors'!$A$3:$B$107,2,1))</f>
        <v>0.96</v>
      </c>
      <c r="F43" s="7">
        <f t="shared" si="0"/>
        <v>0.32</v>
      </c>
    </row>
    <row r="44" spans="1:6" x14ac:dyDescent="0.35">
      <c r="A44" s="1">
        <v>43</v>
      </c>
      <c r="B44" s="7">
        <v>6.75</v>
      </c>
      <c r="C44" s="8">
        <v>0.18</v>
      </c>
      <c r="D44" s="8">
        <v>27</v>
      </c>
      <c r="E44" s="8">
        <f>IF(D44="","",VLOOKUP(D44,'Multiplication factors'!$A$3:$B$107,2,1))</f>
        <v>0.96</v>
      </c>
      <c r="F44" s="7">
        <f t="shared" si="0"/>
        <v>0.17</v>
      </c>
    </row>
    <row r="45" spans="1:6" x14ac:dyDescent="0.35">
      <c r="A45" s="1">
        <v>44</v>
      </c>
      <c r="B45" s="7">
        <v>6.41</v>
      </c>
      <c r="C45" s="8">
        <v>0.18</v>
      </c>
      <c r="D45" s="8">
        <v>27</v>
      </c>
      <c r="E45" s="8">
        <f>IF(D45="","",VLOOKUP(D45,'Multiplication factors'!$A$3:$B$107,2,1))</f>
        <v>0.96</v>
      </c>
      <c r="F45" s="7">
        <f t="shared" si="0"/>
        <v>0.17</v>
      </c>
    </row>
    <row r="46" spans="1:6" x14ac:dyDescent="0.35">
      <c r="A46" s="1">
        <v>45</v>
      </c>
      <c r="B46" s="7">
        <v>6.66</v>
      </c>
      <c r="C46" s="8">
        <v>0.25</v>
      </c>
      <c r="D46" s="8">
        <v>27</v>
      </c>
      <c r="E46" s="8">
        <f>IF(D46="","",VLOOKUP(D46,'Multiplication factors'!$A$3:$B$107,2,1))</f>
        <v>0.96</v>
      </c>
      <c r="F46" s="7">
        <f t="shared" si="0"/>
        <v>0.24</v>
      </c>
    </row>
    <row r="47" spans="1:6" x14ac:dyDescent="0.35">
      <c r="A47" s="1">
        <v>46</v>
      </c>
      <c r="B47" s="7">
        <v>6.73</v>
      </c>
      <c r="C47" s="8">
        <v>0.31</v>
      </c>
      <c r="D47" s="8">
        <v>27</v>
      </c>
      <c r="E47" s="8">
        <f>IF(D47="","",VLOOKUP(D47,'Multiplication factors'!$A$3:$B$107,2,1))</f>
        <v>0.96</v>
      </c>
      <c r="F47" s="7">
        <f t="shared" si="0"/>
        <v>0.3</v>
      </c>
    </row>
    <row r="48" spans="1:6" x14ac:dyDescent="0.35">
      <c r="A48" s="1">
        <v>47</v>
      </c>
      <c r="B48" s="7">
        <v>6.75</v>
      </c>
      <c r="C48" s="8">
        <v>0.24</v>
      </c>
      <c r="D48" s="8">
        <v>27</v>
      </c>
      <c r="E48" s="8">
        <f>IF(D48="","",VLOOKUP(D48,'Multiplication factors'!$A$3:$B$107,2,1))</f>
        <v>0.96</v>
      </c>
      <c r="F48" s="7">
        <f t="shared" si="0"/>
        <v>0.23</v>
      </c>
    </row>
    <row r="49" spans="1:6" x14ac:dyDescent="0.35">
      <c r="A49" s="1">
        <v>48</v>
      </c>
      <c r="B49" s="7">
        <v>6.84</v>
      </c>
      <c r="C49" s="8">
        <v>0.31</v>
      </c>
      <c r="D49" s="8">
        <v>27</v>
      </c>
      <c r="E49" s="8">
        <f>IF(D49="","",VLOOKUP(D49,'Multiplication factors'!$A$3:$B$107,2,1))</f>
        <v>0.96</v>
      </c>
      <c r="F49" s="7">
        <f t="shared" si="0"/>
        <v>0.3</v>
      </c>
    </row>
    <row r="50" spans="1:6" x14ac:dyDescent="0.35">
      <c r="A50" s="1">
        <v>49</v>
      </c>
      <c r="B50" s="7">
        <v>6.88</v>
      </c>
      <c r="C50" s="8">
        <v>0.28999999999999998</v>
      </c>
      <c r="D50" s="8">
        <v>27</v>
      </c>
      <c r="E50" s="8">
        <f>IF(D50="","",VLOOKUP(D50,'Multiplication factors'!$A$3:$B$107,2,1))</f>
        <v>0.96</v>
      </c>
      <c r="F50" s="7">
        <f t="shared" si="0"/>
        <v>0.28000000000000003</v>
      </c>
    </row>
    <row r="51" spans="1:6" x14ac:dyDescent="0.35">
      <c r="A51" s="1">
        <v>50</v>
      </c>
      <c r="B51" s="7">
        <v>6.38</v>
      </c>
      <c r="C51" s="8">
        <v>0.24</v>
      </c>
      <c r="D51" s="8">
        <v>27</v>
      </c>
      <c r="E51" s="8">
        <f>IF(D51="","",VLOOKUP(D51,'Multiplication factors'!$A$3:$B$107,2,1))</f>
        <v>0.96</v>
      </c>
      <c r="F51" s="7">
        <f t="shared" si="0"/>
        <v>0.23</v>
      </c>
    </row>
    <row r="52" spans="1:6" x14ac:dyDescent="0.35">
      <c r="A52" s="1">
        <v>51</v>
      </c>
      <c r="B52" s="7">
        <v>6.93</v>
      </c>
      <c r="C52" s="8">
        <v>0.18</v>
      </c>
      <c r="D52" s="8">
        <v>27</v>
      </c>
      <c r="E52" s="8">
        <f>IF(D52="","",VLOOKUP(D52,'Multiplication factors'!$A$3:$B$107,2,1))</f>
        <v>0.96</v>
      </c>
      <c r="F52" s="7">
        <f t="shared" si="0"/>
        <v>0.17</v>
      </c>
    </row>
    <row r="53" spans="1:6" x14ac:dyDescent="0.35">
      <c r="A53" s="1">
        <v>52</v>
      </c>
      <c r="B53" s="7">
        <v>6.9</v>
      </c>
      <c r="C53" s="8">
        <v>0.28000000000000003</v>
      </c>
      <c r="D53" s="8">
        <v>27</v>
      </c>
      <c r="E53" s="8">
        <f>IF(D53="","",VLOOKUP(D53,'Multiplication factors'!$A$3:$B$107,2,1))</f>
        <v>0.96</v>
      </c>
      <c r="F53" s="7">
        <f t="shared" si="0"/>
        <v>0.27</v>
      </c>
    </row>
    <row r="54" spans="1:6" x14ac:dyDescent="0.35">
      <c r="A54" s="1">
        <v>53</v>
      </c>
      <c r="B54" s="7">
        <v>6.44</v>
      </c>
      <c r="C54" s="8">
        <v>0.12</v>
      </c>
      <c r="D54" s="8">
        <v>27</v>
      </c>
      <c r="E54" s="8">
        <f>IF(D54="","",VLOOKUP(D54,'Multiplication factors'!$A$3:$B$107,2,1))</f>
        <v>0.96</v>
      </c>
      <c r="F54" s="7">
        <f t="shared" si="0"/>
        <v>0.12</v>
      </c>
    </row>
    <row r="55" spans="1:6" x14ac:dyDescent="0.35">
      <c r="A55" s="1">
        <v>54</v>
      </c>
      <c r="B55" s="7">
        <v>7.4</v>
      </c>
      <c r="C55" s="8">
        <v>0.13</v>
      </c>
      <c r="D55" s="8">
        <v>27</v>
      </c>
      <c r="E55" s="8">
        <f>IF(D55="","",VLOOKUP(D55,'Multiplication factors'!$A$3:$B$107,2,1))</f>
        <v>0.96</v>
      </c>
      <c r="F55" s="7">
        <f t="shared" si="0"/>
        <v>0.12</v>
      </c>
    </row>
    <row r="56" spans="1:6" x14ac:dyDescent="0.35">
      <c r="A56" s="1">
        <v>55</v>
      </c>
      <c r="B56" s="7">
        <v>7.58</v>
      </c>
      <c r="C56" s="8">
        <v>0.34</v>
      </c>
      <c r="D56" s="8">
        <v>27</v>
      </c>
      <c r="E56" s="8">
        <f>IF(D56="","",VLOOKUP(D56,'Multiplication factors'!$A$3:$B$107,2,1))</f>
        <v>0.96</v>
      </c>
      <c r="F56" s="7">
        <f t="shared" si="0"/>
        <v>0.33</v>
      </c>
    </row>
    <row r="57" spans="1:6" x14ac:dyDescent="0.35">
      <c r="A57" s="1">
        <v>56</v>
      </c>
      <c r="B57" s="7">
        <v>6.56</v>
      </c>
      <c r="C57" s="8">
        <v>0.12</v>
      </c>
      <c r="D57" s="8">
        <v>27</v>
      </c>
      <c r="E57" s="8">
        <f>IF(D57="","",VLOOKUP(D57,'Multiplication factors'!$A$3:$B$107,2,1))</f>
        <v>0.96</v>
      </c>
      <c r="F57" s="7">
        <f t="shared" si="0"/>
        <v>0.12</v>
      </c>
    </row>
    <row r="58" spans="1:6" x14ac:dyDescent="0.35">
      <c r="A58" s="1">
        <v>57</v>
      </c>
      <c r="B58" s="7">
        <v>3.22</v>
      </c>
      <c r="C58" s="8">
        <v>0.42</v>
      </c>
      <c r="D58" s="8">
        <v>27</v>
      </c>
      <c r="E58" s="8">
        <f>IF(D58="","",VLOOKUP(D58,'Multiplication factors'!$A$3:$B$107,2,1))</f>
        <v>0.96</v>
      </c>
      <c r="F58" s="7">
        <f t="shared" si="0"/>
        <v>0.4</v>
      </c>
    </row>
    <row r="59" spans="1:6" x14ac:dyDescent="0.35">
      <c r="A59" s="1">
        <v>58</v>
      </c>
      <c r="B59" s="7">
        <v>6.56</v>
      </c>
      <c r="C59" s="8">
        <v>0.17</v>
      </c>
      <c r="D59" s="8">
        <v>27</v>
      </c>
      <c r="E59" s="8">
        <f>IF(D59="","",VLOOKUP(D59,'Multiplication factors'!$A$3:$B$107,2,1))</f>
        <v>0.96</v>
      </c>
      <c r="F59" s="7">
        <f t="shared" si="0"/>
        <v>0.16</v>
      </c>
    </row>
    <row r="60" spans="1:6" x14ac:dyDescent="0.35">
      <c r="A60" s="1">
        <v>59</v>
      </c>
      <c r="B60" s="7">
        <v>7.02</v>
      </c>
      <c r="C60" s="8">
        <v>0.18</v>
      </c>
      <c r="D60" s="8">
        <v>27</v>
      </c>
      <c r="E60" s="8">
        <f>IF(D60="","",VLOOKUP(D60,'Multiplication factors'!$A$3:$B$107,2,1))</f>
        <v>0.96</v>
      </c>
      <c r="F60" s="7">
        <f t="shared" si="0"/>
        <v>0.17</v>
      </c>
    </row>
    <row r="61" spans="1:6" x14ac:dyDescent="0.35">
      <c r="A61" s="1">
        <v>60</v>
      </c>
      <c r="B61" s="7">
        <v>4.3600000000000003</v>
      </c>
      <c r="C61" s="8">
        <v>0.27</v>
      </c>
      <c r="D61" s="8">
        <v>27</v>
      </c>
      <c r="E61" s="8">
        <f>IF(D61="","",VLOOKUP(D61,'Multiplication factors'!$A$3:$B$107,2,1))</f>
        <v>0.96</v>
      </c>
      <c r="F61" s="7">
        <f t="shared" si="0"/>
        <v>0.26</v>
      </c>
    </row>
    <row r="62" spans="1:6" x14ac:dyDescent="0.35">
      <c r="A62" s="1">
        <v>61</v>
      </c>
      <c r="B62" s="7">
        <v>7.02</v>
      </c>
      <c r="C62" s="8">
        <v>0.15</v>
      </c>
      <c r="D62" s="8">
        <v>27</v>
      </c>
      <c r="E62" s="8">
        <f>IF(D62="","",VLOOKUP(D62,'Multiplication factors'!$A$3:$B$107,2,1))</f>
        <v>0.96</v>
      </c>
      <c r="F62" s="7">
        <f t="shared" si="0"/>
        <v>0.14000000000000001</v>
      </c>
    </row>
    <row r="63" spans="1:6" x14ac:dyDescent="0.35">
      <c r="A63" s="1">
        <v>62</v>
      </c>
      <c r="B63" s="7">
        <v>3.92</v>
      </c>
      <c r="C63" s="8">
        <v>0.37</v>
      </c>
      <c r="D63" s="8">
        <v>27</v>
      </c>
      <c r="E63" s="8">
        <f>IF(D63="","",VLOOKUP(D63,'Multiplication factors'!$A$3:$B$107,2,1))</f>
        <v>0.96</v>
      </c>
      <c r="F63" s="7">
        <f t="shared" si="0"/>
        <v>0.36</v>
      </c>
    </row>
    <row r="64" spans="1:6" x14ac:dyDescent="0.35">
      <c r="A64" s="1">
        <v>63</v>
      </c>
      <c r="B64" s="7">
        <v>7.55</v>
      </c>
      <c r="C64" s="8">
        <v>0.13</v>
      </c>
      <c r="D64" s="8">
        <v>27</v>
      </c>
      <c r="E64" s="8">
        <f>IF(D64="","",VLOOKUP(D64,'Multiplication factors'!$A$3:$B$107,2,1))</f>
        <v>0.96</v>
      </c>
      <c r="F64" s="7">
        <f t="shared" si="0"/>
        <v>0.12</v>
      </c>
    </row>
    <row r="65" spans="1:6" x14ac:dyDescent="0.35">
      <c r="A65" s="1">
        <v>64</v>
      </c>
      <c r="B65" s="7">
        <v>7.06</v>
      </c>
      <c r="C65" s="8">
        <v>0.26</v>
      </c>
      <c r="D65" s="8">
        <v>27</v>
      </c>
      <c r="E65" s="8">
        <f>IF(D65="","",VLOOKUP(D65,'Multiplication factors'!$A$3:$B$107,2,1))</f>
        <v>0.96</v>
      </c>
      <c r="F65" s="7">
        <f t="shared" si="0"/>
        <v>0.25</v>
      </c>
    </row>
    <row r="66" spans="1:6" x14ac:dyDescent="0.35">
      <c r="A66" s="1">
        <v>65</v>
      </c>
      <c r="B66" s="7">
        <v>6.81</v>
      </c>
      <c r="C66" s="8">
        <v>0.54</v>
      </c>
      <c r="D66" s="8">
        <v>27</v>
      </c>
      <c r="E66" s="8">
        <f>IF(D66="","",VLOOKUP(D66,'Multiplication factors'!$A$3:$B$107,2,1))</f>
        <v>0.96</v>
      </c>
      <c r="F66" s="7">
        <f t="shared" si="0"/>
        <v>0.52</v>
      </c>
    </row>
    <row r="67" spans="1:6" x14ac:dyDescent="0.35">
      <c r="A67" s="1">
        <v>66</v>
      </c>
      <c r="B67" s="7">
        <v>6.69</v>
      </c>
      <c r="C67" s="8">
        <v>0.28000000000000003</v>
      </c>
      <c r="D67" s="8">
        <v>27</v>
      </c>
      <c r="E67" s="8">
        <f>IF(D67="","",VLOOKUP(D67,'Multiplication factors'!$A$3:$B$107,2,1))</f>
        <v>0.96</v>
      </c>
      <c r="F67" s="7">
        <f t="shared" ref="F67:F126" si="1">IF(D67="","",ROUND(C67*E67,2))</f>
        <v>0.27</v>
      </c>
    </row>
    <row r="68" spans="1:6" x14ac:dyDescent="0.35">
      <c r="A68" s="1">
        <v>67</v>
      </c>
      <c r="B68" s="7">
        <v>6.48</v>
      </c>
      <c r="C68" s="8">
        <v>0.37</v>
      </c>
      <c r="D68" s="8">
        <v>27</v>
      </c>
      <c r="E68" s="8">
        <f>IF(D68="","",VLOOKUP(D68,'Multiplication factors'!$A$3:$B$107,2,1))</f>
        <v>0.96</v>
      </c>
      <c r="F68" s="7">
        <f t="shared" si="1"/>
        <v>0.36</v>
      </c>
    </row>
    <row r="69" spans="1:6" x14ac:dyDescent="0.35">
      <c r="A69" s="1">
        <v>68</v>
      </c>
      <c r="B69" s="7">
        <v>6.71</v>
      </c>
      <c r="C69" s="8">
        <v>0.28999999999999998</v>
      </c>
      <c r="D69" s="8">
        <v>27</v>
      </c>
      <c r="E69" s="8">
        <f>IF(D69="","",VLOOKUP(D69,'Multiplication factors'!$A$3:$B$107,2,1))</f>
        <v>0.96</v>
      </c>
      <c r="F69" s="7">
        <f t="shared" si="1"/>
        <v>0.28000000000000003</v>
      </c>
    </row>
    <row r="70" spans="1:6" x14ac:dyDescent="0.35">
      <c r="A70" s="1">
        <v>69</v>
      </c>
      <c r="B70" s="7">
        <v>8.4600000000000009</v>
      </c>
      <c r="C70" s="8">
        <v>0.11</v>
      </c>
      <c r="D70" s="8">
        <v>27</v>
      </c>
      <c r="E70" s="8">
        <f>IF(D70="","",VLOOKUP(D70,'Multiplication factors'!$A$3:$B$107,2,1))</f>
        <v>0.96</v>
      </c>
      <c r="F70" s="7">
        <f t="shared" si="1"/>
        <v>0.11</v>
      </c>
    </row>
    <row r="71" spans="1:6" x14ac:dyDescent="0.35">
      <c r="A71" s="1">
        <v>70</v>
      </c>
      <c r="B71" s="7">
        <v>6.99</v>
      </c>
      <c r="C71" s="8">
        <v>0.26</v>
      </c>
      <c r="D71" s="8">
        <v>27</v>
      </c>
      <c r="E71" s="8">
        <f>IF(D71="","",VLOOKUP(D71,'Multiplication factors'!$A$3:$B$107,2,1))</f>
        <v>0.96</v>
      </c>
      <c r="F71" s="7">
        <f t="shared" si="1"/>
        <v>0.25</v>
      </c>
    </row>
    <row r="72" spans="1:6" x14ac:dyDescent="0.35">
      <c r="A72" s="1">
        <v>71</v>
      </c>
      <c r="B72" s="7">
        <v>6.9</v>
      </c>
      <c r="C72" s="8">
        <v>0.27</v>
      </c>
      <c r="D72" s="8">
        <v>27</v>
      </c>
      <c r="E72" s="8">
        <f>IF(D72="","",VLOOKUP(D72,'Multiplication factors'!$A$3:$B$107,2,1))</f>
        <v>0.96</v>
      </c>
      <c r="F72" s="7">
        <f t="shared" si="1"/>
        <v>0.26</v>
      </c>
    </row>
    <row r="73" spans="1:6" x14ac:dyDescent="0.35">
      <c r="A73" s="1">
        <v>72</v>
      </c>
      <c r="B73" s="7">
        <v>7.26</v>
      </c>
      <c r="C73" s="8">
        <v>0.15</v>
      </c>
      <c r="D73" s="8">
        <v>27</v>
      </c>
      <c r="E73" s="8">
        <f>IF(D73="","",VLOOKUP(D73,'Multiplication factors'!$A$3:$B$107,2,1))</f>
        <v>0.96</v>
      </c>
      <c r="F73" s="7">
        <f t="shared" si="1"/>
        <v>0.14000000000000001</v>
      </c>
    </row>
    <row r="74" spans="1:6" x14ac:dyDescent="0.35">
      <c r="A74" s="1">
        <v>73</v>
      </c>
      <c r="B74" s="7">
        <v>7.81</v>
      </c>
      <c r="C74" s="8">
        <v>0.13</v>
      </c>
      <c r="D74" s="8">
        <v>27</v>
      </c>
      <c r="E74" s="8">
        <f>IF(D74="","",VLOOKUP(D74,'Multiplication factors'!$A$3:$B$107,2,1))</f>
        <v>0.96</v>
      </c>
      <c r="F74" s="7">
        <f t="shared" si="1"/>
        <v>0.12</v>
      </c>
    </row>
    <row r="75" spans="1:6" x14ac:dyDescent="0.35">
      <c r="A75" s="1">
        <v>74</v>
      </c>
      <c r="B75" s="7">
        <v>6.81</v>
      </c>
      <c r="C75" s="8">
        <v>0.35</v>
      </c>
      <c r="D75" s="8">
        <v>27</v>
      </c>
      <c r="E75" s="8">
        <f>IF(D75="","",VLOOKUP(D75,'Multiplication factors'!$A$3:$B$107,2,1))</f>
        <v>0.96</v>
      </c>
      <c r="F75" s="7">
        <f t="shared" si="1"/>
        <v>0.34</v>
      </c>
    </row>
    <row r="76" spans="1:6" x14ac:dyDescent="0.35">
      <c r="A76" s="1">
        <v>75</v>
      </c>
      <c r="B76" s="7">
        <v>6.51</v>
      </c>
      <c r="C76" s="8">
        <v>0.22</v>
      </c>
      <c r="D76" s="8">
        <v>27</v>
      </c>
      <c r="E76" s="8">
        <f>IF(D76="","",VLOOKUP(D76,'Multiplication factors'!$A$3:$B$107,2,1))</f>
        <v>0.96</v>
      </c>
      <c r="F76" s="7">
        <f t="shared" si="1"/>
        <v>0.21</v>
      </c>
    </row>
    <row r="77" spans="1:6" x14ac:dyDescent="0.35">
      <c r="A77" s="1">
        <v>76</v>
      </c>
      <c r="B77" s="7">
        <v>6.61</v>
      </c>
      <c r="C77" s="8">
        <v>0.17</v>
      </c>
      <c r="D77" s="8">
        <v>27</v>
      </c>
      <c r="E77" s="8">
        <f>IF(D77="","",VLOOKUP(D77,'Multiplication factors'!$A$3:$B$107,2,1))</f>
        <v>0.96</v>
      </c>
      <c r="F77" s="7">
        <f t="shared" si="1"/>
        <v>0.16</v>
      </c>
    </row>
    <row r="78" spans="1:6" x14ac:dyDescent="0.35">
      <c r="A78" s="1">
        <v>77</v>
      </c>
      <c r="B78" s="7">
        <v>5.23</v>
      </c>
      <c r="C78" s="8">
        <v>1.5</v>
      </c>
      <c r="D78" s="8">
        <v>27</v>
      </c>
      <c r="E78" s="8">
        <f>IF(D78="","",VLOOKUP(D78,'Multiplication factors'!$A$3:$B$107,2,1))</f>
        <v>0.96</v>
      </c>
      <c r="F78" s="7">
        <f t="shared" si="1"/>
        <v>1.44</v>
      </c>
    </row>
    <row r="79" spans="1:6" x14ac:dyDescent="0.35">
      <c r="A79" s="1">
        <v>78</v>
      </c>
      <c r="B79" s="7">
        <v>6.53</v>
      </c>
      <c r="C79" s="8">
        <v>0.23</v>
      </c>
      <c r="D79" s="8">
        <v>27</v>
      </c>
      <c r="E79" s="8">
        <f>IF(D79="","",VLOOKUP(D79,'Multiplication factors'!$A$3:$B$107,2,1))</f>
        <v>0.96</v>
      </c>
      <c r="F79" s="7">
        <f t="shared" si="1"/>
        <v>0.22</v>
      </c>
    </row>
    <row r="80" spans="1:6" x14ac:dyDescent="0.35">
      <c r="A80" s="1">
        <v>79</v>
      </c>
      <c r="B80" s="7">
        <v>5.44</v>
      </c>
      <c r="C80" s="8">
        <v>0.31</v>
      </c>
      <c r="D80" s="8">
        <v>27</v>
      </c>
      <c r="E80" s="8">
        <f>IF(D80="","",VLOOKUP(D80,'Multiplication factors'!$A$3:$B$107,2,1))</f>
        <v>0.96</v>
      </c>
      <c r="F80" s="7">
        <f t="shared" si="1"/>
        <v>0.3</v>
      </c>
    </row>
    <row r="81" spans="1:6" x14ac:dyDescent="0.35">
      <c r="A81" s="1">
        <v>80</v>
      </c>
      <c r="B81" s="7">
        <v>5.72</v>
      </c>
      <c r="C81" s="8">
        <v>0.67</v>
      </c>
      <c r="D81" s="8">
        <v>27</v>
      </c>
      <c r="E81" s="8">
        <f>IF(D81="","",VLOOKUP(D81,'Multiplication factors'!$A$3:$B$107,2,1))</f>
        <v>0.96</v>
      </c>
      <c r="F81" s="7">
        <f t="shared" si="1"/>
        <v>0.64</v>
      </c>
    </row>
    <row r="82" spans="1:6" x14ac:dyDescent="0.35">
      <c r="A82" s="1">
        <v>81</v>
      </c>
      <c r="B82" s="7">
        <v>6.43</v>
      </c>
      <c r="C82" s="8">
        <v>0.11</v>
      </c>
      <c r="D82" s="8">
        <v>27</v>
      </c>
      <c r="E82" s="8">
        <f>IF(D82="","",VLOOKUP(D82,'Multiplication factors'!$A$3:$B$107,2,1))</f>
        <v>0.96</v>
      </c>
      <c r="F82" s="7">
        <f t="shared" si="1"/>
        <v>0.11</v>
      </c>
    </row>
    <row r="83" spans="1:6" x14ac:dyDescent="0.35">
      <c r="A83" s="1">
        <v>82</v>
      </c>
      <c r="B83" s="7">
        <v>5.67</v>
      </c>
      <c r="C83" s="8">
        <v>0.28999999999999998</v>
      </c>
      <c r="D83" s="8">
        <v>27</v>
      </c>
      <c r="E83" s="8">
        <f>IF(D83="","",VLOOKUP(D83,'Multiplication factors'!$A$3:$B$107,2,1))</f>
        <v>0.96</v>
      </c>
      <c r="F83" s="7">
        <f t="shared" si="1"/>
        <v>0.28000000000000003</v>
      </c>
    </row>
    <row r="84" spans="1:6" x14ac:dyDescent="0.35">
      <c r="A84" s="1">
        <v>83</v>
      </c>
      <c r="B84" s="7">
        <v>6.65</v>
      </c>
      <c r="C84" s="8">
        <v>0.11</v>
      </c>
      <c r="D84" s="8">
        <v>27</v>
      </c>
      <c r="E84" s="8">
        <f>IF(D84="","",VLOOKUP(D84,'Multiplication factors'!$A$3:$B$107,2,1))</f>
        <v>0.96</v>
      </c>
      <c r="F84" s="7">
        <f t="shared" si="1"/>
        <v>0.11</v>
      </c>
    </row>
    <row r="85" spans="1:6" x14ac:dyDescent="0.35">
      <c r="A85" s="1">
        <v>84</v>
      </c>
      <c r="B85" s="7">
        <v>6.93</v>
      </c>
      <c r="C85" s="8">
        <v>0.49</v>
      </c>
      <c r="D85" s="8">
        <v>27</v>
      </c>
      <c r="E85" s="8">
        <f>IF(D85="","",VLOOKUP(D85,'Multiplication factors'!$A$3:$B$107,2,1))</f>
        <v>0.96</v>
      </c>
      <c r="F85" s="7">
        <f t="shared" si="1"/>
        <v>0.47</v>
      </c>
    </row>
    <row r="86" spans="1:6" x14ac:dyDescent="0.35">
      <c r="A86" s="1">
        <v>85</v>
      </c>
      <c r="B86" s="7">
        <v>6.63</v>
      </c>
      <c r="C86" s="8">
        <v>0.15</v>
      </c>
      <c r="D86" s="8">
        <v>27</v>
      </c>
      <c r="E86" s="8">
        <f>IF(D86="","",VLOOKUP(D86,'Multiplication factors'!$A$3:$B$107,2,1))</f>
        <v>0.96</v>
      </c>
      <c r="F86" s="7">
        <f t="shared" si="1"/>
        <v>0.14000000000000001</v>
      </c>
    </row>
    <row r="87" spans="1:6" x14ac:dyDescent="0.35">
      <c r="A87" s="1">
        <v>86</v>
      </c>
      <c r="B87" s="7">
        <v>6.86</v>
      </c>
      <c r="C87" s="8">
        <v>0.23</v>
      </c>
      <c r="D87" s="8">
        <v>27</v>
      </c>
      <c r="E87" s="8">
        <f>IF(D87="","",VLOOKUP(D87,'Multiplication factors'!$A$3:$B$107,2,1))</f>
        <v>0.96</v>
      </c>
      <c r="F87" s="7">
        <f t="shared" si="1"/>
        <v>0.22</v>
      </c>
    </row>
    <row r="88" spans="1:6" x14ac:dyDescent="0.35">
      <c r="A88" s="1">
        <v>87</v>
      </c>
      <c r="B88" s="7">
        <v>7.17</v>
      </c>
      <c r="C88" s="8">
        <v>0.16</v>
      </c>
      <c r="D88" s="8">
        <v>27</v>
      </c>
      <c r="E88" s="8">
        <f>IF(D88="","",VLOOKUP(D88,'Multiplication factors'!$A$3:$B$107,2,1))</f>
        <v>0.96</v>
      </c>
      <c r="F88" s="7">
        <f t="shared" si="1"/>
        <v>0.15</v>
      </c>
    </row>
    <row r="89" spans="1:6" x14ac:dyDescent="0.35">
      <c r="A89" s="1">
        <v>88</v>
      </c>
      <c r="B89" s="7">
        <v>7.33</v>
      </c>
      <c r="C89" s="8">
        <v>0.41</v>
      </c>
      <c r="D89" s="8">
        <v>27</v>
      </c>
      <c r="E89" s="8">
        <f>IF(D89="","",VLOOKUP(D89,'Multiplication factors'!$A$3:$B$107,2,1))</f>
        <v>0.96</v>
      </c>
      <c r="F89" s="7">
        <f t="shared" si="1"/>
        <v>0.39</v>
      </c>
    </row>
    <row r="90" spans="1:6" x14ac:dyDescent="0.35">
      <c r="A90" s="1">
        <v>89</v>
      </c>
      <c r="B90" s="7">
        <v>6.91</v>
      </c>
      <c r="C90" s="8">
        <v>0.21</v>
      </c>
      <c r="D90" s="8">
        <v>27</v>
      </c>
      <c r="E90" s="8">
        <f>IF(D90="","",VLOOKUP(D90,'Multiplication factors'!$A$3:$B$107,2,1))</f>
        <v>0.96</v>
      </c>
      <c r="F90" s="7">
        <f t="shared" si="1"/>
        <v>0.2</v>
      </c>
    </row>
    <row r="91" spans="1:6" x14ac:dyDescent="0.35">
      <c r="A91" s="1">
        <v>90</v>
      </c>
      <c r="B91" s="7">
        <v>6.81</v>
      </c>
      <c r="C91" s="8">
        <v>0.22</v>
      </c>
      <c r="D91" s="8">
        <v>27</v>
      </c>
      <c r="E91" s="8">
        <f>IF(D91="","",VLOOKUP(D91,'Multiplication factors'!$A$3:$B$107,2,1))</f>
        <v>0.96</v>
      </c>
      <c r="F91" s="7">
        <f t="shared" si="1"/>
        <v>0.21</v>
      </c>
    </row>
    <row r="92" spans="1:6" x14ac:dyDescent="0.35">
      <c r="A92" s="1">
        <v>91</v>
      </c>
      <c r="B92" s="7">
        <v>6.78</v>
      </c>
      <c r="C92" s="8">
        <v>0.17</v>
      </c>
      <c r="D92" s="8">
        <v>27</v>
      </c>
      <c r="E92" s="8">
        <f>IF(D92="","",VLOOKUP(D92,'Multiplication factors'!$A$3:$B$107,2,1))</f>
        <v>0.96</v>
      </c>
      <c r="F92" s="7">
        <f t="shared" si="1"/>
        <v>0.16</v>
      </c>
    </row>
    <row r="93" spans="1:6" x14ac:dyDescent="0.35">
      <c r="A93" s="1">
        <v>92</v>
      </c>
      <c r="B93" s="7">
        <v>6.83</v>
      </c>
      <c r="C93" s="8">
        <v>0.17</v>
      </c>
      <c r="D93" s="8">
        <v>27</v>
      </c>
      <c r="E93" s="8">
        <f>IF(D93="","",VLOOKUP(D93,'Multiplication factors'!$A$3:$B$107,2,1))</f>
        <v>0.96</v>
      </c>
      <c r="F93" s="7">
        <f t="shared" si="1"/>
        <v>0.16</v>
      </c>
    </row>
    <row r="94" spans="1:6" x14ac:dyDescent="0.35">
      <c r="A94" s="1">
        <v>93</v>
      </c>
      <c r="B94" s="7">
        <v>6.17</v>
      </c>
      <c r="C94" s="8">
        <v>0.14000000000000001</v>
      </c>
      <c r="D94" s="8">
        <v>27</v>
      </c>
      <c r="E94" s="8">
        <f>IF(D94="","",VLOOKUP(D94,'Multiplication factors'!$A$3:$B$107,2,1))</f>
        <v>0.96</v>
      </c>
      <c r="F94" s="7">
        <f t="shared" si="1"/>
        <v>0.13</v>
      </c>
    </row>
    <row r="95" spans="1:6" x14ac:dyDescent="0.35">
      <c r="A95" s="1">
        <v>94</v>
      </c>
      <c r="B95" s="7">
        <v>6.56</v>
      </c>
      <c r="C95" s="8">
        <v>0.15</v>
      </c>
      <c r="D95" s="8">
        <v>27</v>
      </c>
      <c r="E95" s="8">
        <f>IF(D95="","",VLOOKUP(D95,'Multiplication factors'!$A$3:$B$107,2,1))</f>
        <v>0.96</v>
      </c>
      <c r="F95" s="7">
        <f t="shared" si="1"/>
        <v>0.14000000000000001</v>
      </c>
    </row>
    <row r="96" spans="1:6" x14ac:dyDescent="0.35">
      <c r="A96" s="1">
        <v>95</v>
      </c>
      <c r="B96" s="7">
        <v>6.98</v>
      </c>
      <c r="C96" s="8">
        <v>0.14000000000000001</v>
      </c>
      <c r="D96" s="8">
        <v>27</v>
      </c>
      <c r="E96" s="8">
        <f>IF(D96="","",VLOOKUP(D96,'Multiplication factors'!$A$3:$B$107,2,1))</f>
        <v>0.96</v>
      </c>
      <c r="F96" s="7">
        <f t="shared" si="1"/>
        <v>0.13</v>
      </c>
    </row>
    <row r="97" spans="1:6" x14ac:dyDescent="0.35">
      <c r="A97" s="1">
        <v>96</v>
      </c>
      <c r="B97" s="7">
        <v>6.95</v>
      </c>
      <c r="C97" s="8">
        <v>0.23</v>
      </c>
      <c r="D97" s="8">
        <v>27</v>
      </c>
      <c r="E97" s="8">
        <f>IF(D97="","",VLOOKUP(D97,'Multiplication factors'!$A$3:$B$107,2,1))</f>
        <v>0.96</v>
      </c>
      <c r="F97" s="7">
        <f t="shared" si="1"/>
        <v>0.22</v>
      </c>
    </row>
    <row r="98" spans="1:6" x14ac:dyDescent="0.35">
      <c r="A98" s="1">
        <v>97</v>
      </c>
      <c r="B98" s="7">
        <v>7.36</v>
      </c>
      <c r="C98" s="8">
        <v>0.24</v>
      </c>
      <c r="D98" s="8">
        <v>27</v>
      </c>
      <c r="E98" s="8">
        <f>IF(D98="","",VLOOKUP(D98,'Multiplication factors'!$A$3:$B$107,2,1))</f>
        <v>0.96</v>
      </c>
      <c r="F98" s="7">
        <f t="shared" si="1"/>
        <v>0.23</v>
      </c>
    </row>
    <row r="99" spans="1:6" x14ac:dyDescent="0.35">
      <c r="A99" s="1">
        <v>98</v>
      </c>
      <c r="B99" s="7">
        <v>6.97</v>
      </c>
      <c r="C99" s="8">
        <v>0.15</v>
      </c>
      <c r="D99" s="8">
        <v>27</v>
      </c>
      <c r="E99" s="8">
        <f>IF(D99="","",VLOOKUP(D99,'Multiplication factors'!$A$3:$B$107,2,1))</f>
        <v>0.96</v>
      </c>
      <c r="F99" s="7">
        <f t="shared" si="1"/>
        <v>0.14000000000000001</v>
      </c>
    </row>
    <row r="100" spans="1:6" x14ac:dyDescent="0.35">
      <c r="A100" s="1">
        <v>99</v>
      </c>
      <c r="B100" s="7">
        <v>6.63</v>
      </c>
      <c r="C100" s="8">
        <v>0.13</v>
      </c>
      <c r="D100" s="8">
        <v>27</v>
      </c>
      <c r="E100" s="8">
        <f>IF(D100="","",VLOOKUP(D100,'Multiplication factors'!$A$3:$B$107,2,1))</f>
        <v>0.96</v>
      </c>
      <c r="F100" s="7">
        <f t="shared" si="1"/>
        <v>0.12</v>
      </c>
    </row>
    <row r="101" spans="1:6" x14ac:dyDescent="0.35">
      <c r="A101" s="1">
        <v>100</v>
      </c>
      <c r="B101" s="7">
        <v>6.82</v>
      </c>
      <c r="C101" s="8">
        <v>0.15</v>
      </c>
      <c r="D101" s="8">
        <v>27</v>
      </c>
      <c r="E101" s="8">
        <f>IF(D101="","",VLOOKUP(D101,'Multiplication factors'!$A$3:$B$107,2,1))</f>
        <v>0.96</v>
      </c>
      <c r="F101" s="7">
        <f t="shared" si="1"/>
        <v>0.14000000000000001</v>
      </c>
    </row>
    <row r="102" spans="1:6" x14ac:dyDescent="0.35">
      <c r="A102" s="1">
        <v>101</v>
      </c>
      <c r="B102" s="7">
        <v>7.31</v>
      </c>
      <c r="C102" s="8">
        <v>0.19</v>
      </c>
      <c r="D102" s="8">
        <v>27</v>
      </c>
      <c r="E102" s="8">
        <f>IF(D102="","",VLOOKUP(D102,'Multiplication factors'!$A$3:$B$107,2,1))</f>
        <v>0.96</v>
      </c>
      <c r="F102" s="7">
        <f t="shared" si="1"/>
        <v>0.18</v>
      </c>
    </row>
    <row r="103" spans="1:6" x14ac:dyDescent="0.35">
      <c r="A103" s="1">
        <v>102</v>
      </c>
      <c r="B103" s="7">
        <v>6.88</v>
      </c>
      <c r="C103" s="8">
        <v>0.21</v>
      </c>
      <c r="D103" s="8">
        <v>27</v>
      </c>
      <c r="E103" s="8">
        <f>IF(D103="","",VLOOKUP(D103,'Multiplication factors'!$A$3:$B$107,2,1))</f>
        <v>0.96</v>
      </c>
      <c r="F103" s="7">
        <f t="shared" si="1"/>
        <v>0.2</v>
      </c>
    </row>
    <row r="104" spans="1:6" x14ac:dyDescent="0.35">
      <c r="A104" s="1">
        <v>103</v>
      </c>
      <c r="B104" s="7">
        <v>6.75</v>
      </c>
      <c r="C104" s="8">
        <v>0.19</v>
      </c>
      <c r="D104" s="8">
        <v>27</v>
      </c>
      <c r="E104" s="8">
        <f>IF(D104="","",VLOOKUP(D104,'Multiplication factors'!$A$3:$B$107,2,1))</f>
        <v>0.96</v>
      </c>
      <c r="F104" s="7">
        <f t="shared" si="1"/>
        <v>0.18</v>
      </c>
    </row>
    <row r="105" spans="1:6" x14ac:dyDescent="0.35">
      <c r="A105" s="1">
        <v>104</v>
      </c>
      <c r="B105" s="7">
        <v>9.34</v>
      </c>
      <c r="C105" s="8">
        <v>0.4</v>
      </c>
      <c r="D105" s="8">
        <v>27</v>
      </c>
      <c r="E105" s="8">
        <f>IF(D105="","",VLOOKUP(D105,'Multiplication factors'!$A$3:$B$107,2,1))</f>
        <v>0.96</v>
      </c>
      <c r="F105" s="7">
        <f t="shared" si="1"/>
        <v>0.38</v>
      </c>
    </row>
    <row r="106" spans="1:6" x14ac:dyDescent="0.35">
      <c r="A106" s="1">
        <v>105</v>
      </c>
      <c r="B106" s="7">
        <v>6.77</v>
      </c>
      <c r="C106" s="8">
        <v>0.21</v>
      </c>
      <c r="D106" s="8">
        <v>27</v>
      </c>
      <c r="E106" s="8">
        <f>IF(D106="","",VLOOKUP(D106,'Multiplication factors'!$A$3:$B$107,2,1))</f>
        <v>0.96</v>
      </c>
      <c r="F106" s="7">
        <f t="shared" si="1"/>
        <v>0.2</v>
      </c>
    </row>
    <row r="107" spans="1:6" x14ac:dyDescent="0.35">
      <c r="A107" s="1">
        <v>106</v>
      </c>
      <c r="B107" s="7">
        <v>6.87</v>
      </c>
      <c r="C107" s="8">
        <v>0.2</v>
      </c>
      <c r="D107" s="8">
        <v>27</v>
      </c>
      <c r="E107" s="8">
        <f>IF(D107="","",VLOOKUP(D107,'Multiplication factors'!$A$3:$B$107,2,1))</f>
        <v>0.96</v>
      </c>
      <c r="F107" s="7">
        <f t="shared" si="1"/>
        <v>0.19</v>
      </c>
    </row>
    <row r="108" spans="1:6" x14ac:dyDescent="0.35">
      <c r="A108" s="1">
        <v>107</v>
      </c>
      <c r="B108" s="7">
        <v>6.84</v>
      </c>
      <c r="C108" s="8">
        <v>0.17</v>
      </c>
      <c r="D108" s="8">
        <v>27</v>
      </c>
      <c r="E108" s="8">
        <f>IF(D108="","",VLOOKUP(D108,'Multiplication factors'!$A$3:$B$107,2,1))</f>
        <v>0.96</v>
      </c>
      <c r="F108" s="7">
        <f t="shared" si="1"/>
        <v>0.16</v>
      </c>
    </row>
    <row r="109" spans="1:6" x14ac:dyDescent="0.35">
      <c r="A109" s="1">
        <v>108</v>
      </c>
      <c r="B109" s="7">
        <v>6.86</v>
      </c>
      <c r="C109" s="8">
        <v>0.2</v>
      </c>
      <c r="D109" s="8">
        <v>27</v>
      </c>
      <c r="E109" s="8">
        <f>IF(D109="","",VLOOKUP(D109,'Multiplication factors'!$A$3:$B$107,2,1))</f>
        <v>0.96</v>
      </c>
      <c r="F109" s="7">
        <f t="shared" si="1"/>
        <v>0.19</v>
      </c>
    </row>
    <row r="110" spans="1:6" x14ac:dyDescent="0.35">
      <c r="A110" s="1">
        <v>109</v>
      </c>
      <c r="B110" s="7">
        <v>7.36</v>
      </c>
      <c r="C110" s="8">
        <v>0.21</v>
      </c>
      <c r="D110" s="8">
        <v>27</v>
      </c>
      <c r="E110" s="8">
        <f>IF(D110="","",VLOOKUP(D110,'Multiplication factors'!$A$3:$B$107,2,1))</f>
        <v>0.96</v>
      </c>
      <c r="F110" s="7">
        <f t="shared" si="1"/>
        <v>0.2</v>
      </c>
    </row>
    <row r="111" spans="1:6" x14ac:dyDescent="0.35">
      <c r="A111" s="1">
        <v>110</v>
      </c>
      <c r="B111" s="7">
        <v>4.09</v>
      </c>
      <c r="C111" s="8">
        <v>0.27</v>
      </c>
      <c r="D111" s="8">
        <v>27</v>
      </c>
      <c r="E111" s="8">
        <f>IF(D111="","",VLOOKUP(D111,'Multiplication factors'!$A$3:$B$107,2,1))</f>
        <v>0.96</v>
      </c>
      <c r="F111" s="7">
        <f t="shared" si="1"/>
        <v>0.26</v>
      </c>
    </row>
    <row r="112" spans="1:6" x14ac:dyDescent="0.35">
      <c r="A112" s="1">
        <v>111</v>
      </c>
      <c r="B112" s="7">
        <v>7.27</v>
      </c>
      <c r="C112" s="8">
        <v>0.26</v>
      </c>
      <c r="D112" s="8">
        <v>27</v>
      </c>
      <c r="E112" s="8">
        <f>IF(D112="","",VLOOKUP(D112,'Multiplication factors'!$A$3:$B$107,2,1))</f>
        <v>0.96</v>
      </c>
      <c r="F112" s="7">
        <f t="shared" si="1"/>
        <v>0.25</v>
      </c>
    </row>
    <row r="113" spans="1:6" x14ac:dyDescent="0.35">
      <c r="A113" s="1">
        <v>112</v>
      </c>
      <c r="B113" s="7">
        <v>7.04</v>
      </c>
      <c r="C113" s="8">
        <v>0.18</v>
      </c>
      <c r="D113" s="8">
        <v>27</v>
      </c>
      <c r="E113" s="8">
        <f>IF(D113="","",VLOOKUP(D113,'Multiplication factors'!$A$3:$B$107,2,1))</f>
        <v>0.96</v>
      </c>
      <c r="F113" s="7">
        <f t="shared" si="1"/>
        <v>0.17</v>
      </c>
    </row>
    <row r="114" spans="1:6" x14ac:dyDescent="0.35">
      <c r="A114" s="1">
        <v>113</v>
      </c>
      <c r="B114" s="7">
        <v>6.88</v>
      </c>
      <c r="C114" s="8">
        <v>0.17</v>
      </c>
      <c r="D114" s="8">
        <v>27</v>
      </c>
      <c r="E114" s="8">
        <f>IF(D114="","",VLOOKUP(D114,'Multiplication factors'!$A$3:$B$107,2,1))</f>
        <v>0.96</v>
      </c>
      <c r="F114" s="7">
        <f t="shared" si="1"/>
        <v>0.16</v>
      </c>
    </row>
    <row r="115" spans="1:6" x14ac:dyDescent="0.35">
      <c r="A115" s="1">
        <v>114</v>
      </c>
      <c r="B115" s="7">
        <v>7.01</v>
      </c>
      <c r="C115" s="8">
        <v>0.16</v>
      </c>
      <c r="D115" s="8">
        <v>27</v>
      </c>
      <c r="E115" s="8">
        <f>IF(D115="","",VLOOKUP(D115,'Multiplication factors'!$A$3:$B$107,2,1))</f>
        <v>0.96</v>
      </c>
      <c r="F115" s="7">
        <f t="shared" si="1"/>
        <v>0.15</v>
      </c>
    </row>
    <row r="116" spans="1:6" x14ac:dyDescent="0.35">
      <c r="A116" s="1">
        <v>115</v>
      </c>
      <c r="B116" s="7">
        <v>6.54</v>
      </c>
      <c r="C116" s="8">
        <v>0.23</v>
      </c>
      <c r="D116" s="8">
        <v>27</v>
      </c>
      <c r="E116" s="8">
        <f>IF(D116="","",VLOOKUP(D116,'Multiplication factors'!$A$3:$B$107,2,1))</f>
        <v>0.96</v>
      </c>
      <c r="F116" s="7">
        <f t="shared" si="1"/>
        <v>0.22</v>
      </c>
    </row>
    <row r="117" spans="1:6" x14ac:dyDescent="0.35">
      <c r="A117" s="1">
        <v>116</v>
      </c>
      <c r="B117" s="7">
        <v>7.43</v>
      </c>
      <c r="C117" s="8">
        <v>0.3</v>
      </c>
      <c r="D117" s="8">
        <v>27</v>
      </c>
      <c r="E117" s="8">
        <f>IF(D117="","",VLOOKUP(D117,'Multiplication factors'!$A$3:$B$107,2,1))</f>
        <v>0.96</v>
      </c>
      <c r="F117" s="7">
        <f t="shared" si="1"/>
        <v>0.28999999999999998</v>
      </c>
    </row>
    <row r="118" spans="1:6" x14ac:dyDescent="0.35">
      <c r="A118" s="1">
        <v>117</v>
      </c>
      <c r="B118" s="7">
        <v>7.04</v>
      </c>
      <c r="C118" s="8">
        <v>0.15</v>
      </c>
      <c r="D118" s="8">
        <v>27</v>
      </c>
      <c r="E118" s="8">
        <f>IF(D118="","",VLOOKUP(D118,'Multiplication factors'!$A$3:$B$107,2,1))</f>
        <v>0.96</v>
      </c>
      <c r="F118" s="7">
        <f t="shared" si="1"/>
        <v>0.14000000000000001</v>
      </c>
    </row>
    <row r="119" spans="1:6" x14ac:dyDescent="0.35">
      <c r="A119" s="1">
        <v>118</v>
      </c>
      <c r="B119" s="7">
        <v>7.4</v>
      </c>
      <c r="C119" s="8">
        <v>0.31</v>
      </c>
      <c r="D119" s="8">
        <v>27</v>
      </c>
      <c r="E119" s="8">
        <f>IF(D119="","",VLOOKUP(D119,'Multiplication factors'!$A$3:$B$107,2,1))</f>
        <v>0.96</v>
      </c>
      <c r="F119" s="7">
        <f t="shared" si="1"/>
        <v>0.3</v>
      </c>
    </row>
    <row r="120" spans="1:6" x14ac:dyDescent="0.35">
      <c r="A120" s="1">
        <v>119</v>
      </c>
      <c r="B120" s="7">
        <v>7.29</v>
      </c>
      <c r="C120" s="8">
        <v>0.19</v>
      </c>
      <c r="D120" s="8">
        <v>27</v>
      </c>
      <c r="E120" s="8">
        <f>IF(D120="","",VLOOKUP(D120,'Multiplication factors'!$A$3:$B$107,2,1))</f>
        <v>0.96</v>
      </c>
      <c r="F120" s="7">
        <f t="shared" si="1"/>
        <v>0.18</v>
      </c>
    </row>
    <row r="121" spans="1:6" x14ac:dyDescent="0.35">
      <c r="A121" s="1">
        <v>120</v>
      </c>
      <c r="B121" s="7">
        <v>6.47</v>
      </c>
      <c r="C121" s="8">
        <v>0.24</v>
      </c>
      <c r="D121" s="8">
        <v>27</v>
      </c>
      <c r="E121" s="8">
        <f>IF(D121="","",VLOOKUP(D121,'Multiplication factors'!$A$3:$B$107,2,1))</f>
        <v>0.96</v>
      </c>
      <c r="F121" s="7">
        <f t="shared" si="1"/>
        <v>0.23</v>
      </c>
    </row>
    <row r="122" spans="1:6" x14ac:dyDescent="0.35">
      <c r="A122" s="1">
        <v>121</v>
      </c>
      <c r="B122" s="7">
        <v>6.69</v>
      </c>
      <c r="C122" s="8">
        <v>0.24</v>
      </c>
      <c r="D122" s="8">
        <v>27</v>
      </c>
      <c r="E122" s="8">
        <f>IF(D122="","",VLOOKUP(D122,'Multiplication factors'!$A$3:$B$107,2,1))</f>
        <v>0.96</v>
      </c>
      <c r="F122" s="7">
        <f t="shared" si="1"/>
        <v>0.23</v>
      </c>
    </row>
    <row r="123" spans="1:6" x14ac:dyDescent="0.35">
      <c r="A123" s="1">
        <v>122</v>
      </c>
      <c r="B123" s="7">
        <v>7.15</v>
      </c>
      <c r="C123" s="8">
        <v>0.2</v>
      </c>
      <c r="D123" s="8">
        <v>27</v>
      </c>
      <c r="E123" s="8">
        <f>IF(D123="","",VLOOKUP(D123,'Multiplication factors'!$A$3:$B$107,2,1))</f>
        <v>0.96</v>
      </c>
      <c r="F123" s="7">
        <f t="shared" si="1"/>
        <v>0.19</v>
      </c>
    </row>
    <row r="124" spans="1:6" x14ac:dyDescent="0.35">
      <c r="A124" s="1">
        <v>123</v>
      </c>
      <c r="B124" s="7">
        <v>6.96</v>
      </c>
      <c r="C124" s="8">
        <v>0.17</v>
      </c>
      <c r="D124" s="8">
        <v>27</v>
      </c>
      <c r="E124" s="8">
        <f>IF(D124="","",VLOOKUP(D124,'Multiplication factors'!$A$3:$B$107,2,1))</f>
        <v>0.96</v>
      </c>
      <c r="F124" s="7">
        <f t="shared" si="1"/>
        <v>0.16</v>
      </c>
    </row>
    <row r="125" spans="1:6" x14ac:dyDescent="0.35">
      <c r="A125" s="1">
        <v>124</v>
      </c>
      <c r="B125" s="7">
        <v>9.4600000000000009</v>
      </c>
      <c r="C125" s="8">
        <v>0.81</v>
      </c>
      <c r="D125" s="8">
        <v>27</v>
      </c>
      <c r="E125" s="8">
        <f>IF(D125="","",VLOOKUP(D125,'Multiplication factors'!$A$3:$B$107,2,1))</f>
        <v>0.96</v>
      </c>
      <c r="F125" s="7">
        <f t="shared" si="1"/>
        <v>0.78</v>
      </c>
    </row>
    <row r="126" spans="1:6" x14ac:dyDescent="0.35">
      <c r="A126" s="1">
        <v>125</v>
      </c>
      <c r="B126" s="7">
        <v>7.95</v>
      </c>
      <c r="C126" s="8">
        <v>0.24</v>
      </c>
      <c r="D126" s="8">
        <v>27</v>
      </c>
      <c r="E126" s="8">
        <f>IF(D126="","",VLOOKUP(D126,'Multiplication factors'!$A$3:$B$107,2,1))</f>
        <v>0.96</v>
      </c>
      <c r="F126" s="7">
        <f t="shared" si="1"/>
        <v>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7"/>
  <sheetViews>
    <sheetView workbookViewId="0">
      <selection activeCell="K5" sqref="K5"/>
    </sheetView>
  </sheetViews>
  <sheetFormatPr defaultRowHeight="14.5" x14ac:dyDescent="0.35"/>
  <cols>
    <col min="2" max="10" width="15.7265625" customWidth="1"/>
  </cols>
  <sheetData>
    <row r="1" spans="1:10" ht="32.25" customHeight="1" x14ac:dyDescent="0.35">
      <c r="B1" s="19" t="s">
        <v>10</v>
      </c>
      <c r="C1" s="19"/>
      <c r="D1" s="19"/>
      <c r="E1" s="19" t="s">
        <v>14</v>
      </c>
      <c r="F1" s="19"/>
      <c r="G1" s="19"/>
      <c r="H1" s="19" t="s">
        <v>15</v>
      </c>
      <c r="I1" s="19"/>
      <c r="J1" s="19"/>
    </row>
    <row r="2" spans="1:10" ht="29" x14ac:dyDescent="0.35">
      <c r="A2" s="6" t="s">
        <v>2</v>
      </c>
      <c r="B2" s="10" t="s">
        <v>8</v>
      </c>
      <c r="C2" s="10" t="s">
        <v>9</v>
      </c>
      <c r="D2" s="9" t="s">
        <v>17</v>
      </c>
      <c r="E2" s="10" t="s">
        <v>11</v>
      </c>
      <c r="F2" s="10" t="s">
        <v>12</v>
      </c>
      <c r="G2" s="9" t="s">
        <v>13</v>
      </c>
      <c r="H2" s="10" t="s">
        <v>11</v>
      </c>
      <c r="I2" s="10" t="s">
        <v>12</v>
      </c>
      <c r="J2" s="9" t="s">
        <v>16</v>
      </c>
    </row>
    <row r="3" spans="1:10" x14ac:dyDescent="0.35">
      <c r="A3" s="1">
        <v>1</v>
      </c>
      <c r="B3" s="8">
        <v>1.4</v>
      </c>
      <c r="C3" s="8">
        <v>0.2</v>
      </c>
      <c r="D3" s="7">
        <f>IF(B3="","",ROUND((B3-C3)*209.067,2))</f>
        <v>250.88</v>
      </c>
      <c r="E3" s="8">
        <v>0.13</v>
      </c>
      <c r="F3" s="8">
        <f>IF(E3="","",E3*'Multiplication factors'!$F$13)</f>
        <v>2.41696</v>
      </c>
      <c r="G3" s="7">
        <f>IF(E3="","",ROUND(F3*2.24,2))</f>
        <v>5.41</v>
      </c>
      <c r="H3" s="8"/>
      <c r="I3" s="8">
        <v>2.4</v>
      </c>
      <c r="J3" s="7">
        <f>IF(I3="","",ROUND(I3*11.2,2))</f>
        <v>26.88</v>
      </c>
    </row>
    <row r="4" spans="1:10" x14ac:dyDescent="0.35">
      <c r="A4" s="1">
        <v>2</v>
      </c>
      <c r="B4" s="8">
        <v>1.3</v>
      </c>
      <c r="C4" s="8">
        <v>0.2</v>
      </c>
      <c r="D4" s="7">
        <f t="shared" ref="D4:D67" si="0">IF(B4="","",ROUND((B4-C4)*209.067,2))</f>
        <v>229.97</v>
      </c>
      <c r="E4" s="8">
        <v>0.158</v>
      </c>
      <c r="F4" s="8">
        <f>IF(E4="","",E4*'Multiplication factors'!$F$13)</f>
        <v>2.9375359999999997</v>
      </c>
      <c r="G4" s="7">
        <f t="shared" ref="G4:G67" si="1">IF(E4="","",ROUND(F4*2.24,2))</f>
        <v>6.58</v>
      </c>
      <c r="H4" s="8"/>
      <c r="I4" s="8">
        <v>4.4000000000000004</v>
      </c>
      <c r="J4" s="7">
        <f t="shared" ref="J4:J67" si="2">IF(I4="","",ROUND(I4*11.2,2))</f>
        <v>49.28</v>
      </c>
    </row>
    <row r="5" spans="1:10" x14ac:dyDescent="0.35">
      <c r="A5" s="1">
        <v>3</v>
      </c>
      <c r="B5" s="8">
        <v>1.2</v>
      </c>
      <c r="C5" s="8">
        <v>0.2</v>
      </c>
      <c r="D5" s="7">
        <f t="shared" si="0"/>
        <v>209.07</v>
      </c>
      <c r="E5" s="8">
        <v>0.127</v>
      </c>
      <c r="F5" s="8">
        <f>IF(E5="","",E5*'Multiplication factors'!$F$13)</f>
        <v>2.3611839999999997</v>
      </c>
      <c r="G5" s="7">
        <f t="shared" si="1"/>
        <v>5.29</v>
      </c>
      <c r="H5" s="8"/>
      <c r="I5" s="8">
        <v>4.5</v>
      </c>
      <c r="J5" s="7">
        <f t="shared" si="2"/>
        <v>50.4</v>
      </c>
    </row>
    <row r="6" spans="1:10" x14ac:dyDescent="0.35">
      <c r="A6" s="1">
        <v>4</v>
      </c>
      <c r="B6" s="8">
        <v>1.6</v>
      </c>
      <c r="C6" s="8">
        <v>0.2</v>
      </c>
      <c r="D6" s="7">
        <f t="shared" si="0"/>
        <v>292.69</v>
      </c>
      <c r="E6" s="8">
        <v>0.15</v>
      </c>
      <c r="F6" s="8">
        <f>IF(E6="","",E6*'Multiplication factors'!$F$13)</f>
        <v>2.7887999999999997</v>
      </c>
      <c r="G6" s="7">
        <f t="shared" si="1"/>
        <v>6.25</v>
      </c>
      <c r="H6" s="8"/>
      <c r="I6" s="8">
        <v>6</v>
      </c>
      <c r="J6" s="7">
        <f t="shared" si="2"/>
        <v>67.2</v>
      </c>
    </row>
    <row r="7" spans="1:10" x14ac:dyDescent="0.35">
      <c r="A7" s="1">
        <v>5</v>
      </c>
      <c r="B7" s="8">
        <v>1.2</v>
      </c>
      <c r="C7" s="8">
        <v>0.2</v>
      </c>
      <c r="D7" s="7">
        <f t="shared" si="0"/>
        <v>209.07</v>
      </c>
      <c r="E7" s="8">
        <v>0.13500000000000001</v>
      </c>
      <c r="F7" s="8">
        <f>IF(E7="","",E7*'Multiplication factors'!$F$13)</f>
        <v>2.5099200000000002</v>
      </c>
      <c r="G7" s="7">
        <f t="shared" si="1"/>
        <v>5.62</v>
      </c>
      <c r="H7" s="8"/>
      <c r="I7" s="8">
        <v>6.2</v>
      </c>
      <c r="J7" s="7">
        <f t="shared" si="2"/>
        <v>69.44</v>
      </c>
    </row>
    <row r="8" spans="1:10" x14ac:dyDescent="0.35">
      <c r="A8" s="1">
        <v>6</v>
      </c>
      <c r="B8" s="8">
        <v>1.1000000000000001</v>
      </c>
      <c r="C8" s="8">
        <v>0.2</v>
      </c>
      <c r="D8" s="7">
        <f t="shared" si="0"/>
        <v>188.16</v>
      </c>
      <c r="E8" s="8">
        <v>0.14000000000000001</v>
      </c>
      <c r="F8" s="8">
        <f>IF(E8="","",E8*'Multiplication factors'!$F$13)</f>
        <v>2.6028799999999999</v>
      </c>
      <c r="G8" s="7">
        <f t="shared" si="1"/>
        <v>5.83</v>
      </c>
      <c r="H8" s="8"/>
      <c r="I8" s="8">
        <v>5.5</v>
      </c>
      <c r="J8" s="7">
        <f t="shared" si="2"/>
        <v>61.6</v>
      </c>
    </row>
    <row r="9" spans="1:10" x14ac:dyDescent="0.35">
      <c r="A9" s="1">
        <v>7</v>
      </c>
      <c r="B9" s="8">
        <v>1.2</v>
      </c>
      <c r="C9" s="8">
        <v>0.2</v>
      </c>
      <c r="D9" s="7">
        <f t="shared" si="0"/>
        <v>209.07</v>
      </c>
      <c r="E9" s="8">
        <v>0.106</v>
      </c>
      <c r="F9" s="8">
        <f>IF(E9="","",E9*'Multiplication factors'!$F$13)</f>
        <v>1.9707519999999998</v>
      </c>
      <c r="G9" s="7">
        <f t="shared" si="1"/>
        <v>4.41</v>
      </c>
      <c r="H9" s="8"/>
      <c r="I9" s="8">
        <v>4.2</v>
      </c>
      <c r="J9" s="7">
        <f t="shared" si="2"/>
        <v>47.04</v>
      </c>
    </row>
    <row r="10" spans="1:10" x14ac:dyDescent="0.35">
      <c r="A10" s="1">
        <v>8</v>
      </c>
      <c r="B10" s="8">
        <v>1</v>
      </c>
      <c r="C10" s="8">
        <v>0.2</v>
      </c>
      <c r="D10" s="7">
        <f t="shared" si="0"/>
        <v>167.25</v>
      </c>
      <c r="E10" s="8">
        <v>0.17499999999999999</v>
      </c>
      <c r="F10" s="8">
        <f>IF(E10="","",E10*'Multiplication factors'!$F$13)</f>
        <v>3.2535999999999996</v>
      </c>
      <c r="G10" s="7">
        <f t="shared" si="1"/>
        <v>7.29</v>
      </c>
      <c r="H10" s="8"/>
      <c r="I10" s="8">
        <v>4.3</v>
      </c>
      <c r="J10" s="7">
        <f t="shared" si="2"/>
        <v>48.16</v>
      </c>
    </row>
    <row r="11" spans="1:10" x14ac:dyDescent="0.35">
      <c r="A11" s="1">
        <v>9</v>
      </c>
      <c r="B11" s="8">
        <v>1.2</v>
      </c>
      <c r="C11" s="8">
        <v>0.2</v>
      </c>
      <c r="D11" s="7">
        <f t="shared" si="0"/>
        <v>209.07</v>
      </c>
      <c r="E11" s="8">
        <v>0.11</v>
      </c>
      <c r="F11" s="8">
        <f>IF(E11="","",E11*'Multiplication factors'!$F$13)</f>
        <v>2.0451199999999998</v>
      </c>
      <c r="G11" s="7">
        <f t="shared" si="1"/>
        <v>4.58</v>
      </c>
      <c r="H11" s="8"/>
      <c r="I11" s="8">
        <v>1.2</v>
      </c>
      <c r="J11" s="7">
        <f t="shared" si="2"/>
        <v>13.44</v>
      </c>
    </row>
    <row r="12" spans="1:10" x14ac:dyDescent="0.35">
      <c r="A12" s="1">
        <v>10</v>
      </c>
      <c r="B12" s="8">
        <v>1.2</v>
      </c>
      <c r="C12" s="8">
        <v>0.2</v>
      </c>
      <c r="D12" s="7">
        <f t="shared" si="0"/>
        <v>209.07</v>
      </c>
      <c r="E12" s="8">
        <v>0.13800000000000001</v>
      </c>
      <c r="F12" s="8">
        <f>IF(E12="","",E12*'Multiplication factors'!$F$13)</f>
        <v>2.565696</v>
      </c>
      <c r="G12" s="7">
        <f t="shared" si="1"/>
        <v>5.75</v>
      </c>
      <c r="H12" s="8"/>
      <c r="I12" s="8">
        <v>1.9</v>
      </c>
      <c r="J12" s="7">
        <f t="shared" si="2"/>
        <v>21.28</v>
      </c>
    </row>
    <row r="13" spans="1:10" x14ac:dyDescent="0.35">
      <c r="A13" s="1">
        <v>11</v>
      </c>
      <c r="B13" s="8">
        <v>1.2</v>
      </c>
      <c r="C13" s="8">
        <v>0.2</v>
      </c>
      <c r="D13" s="7">
        <f t="shared" si="0"/>
        <v>209.07</v>
      </c>
      <c r="E13" s="8">
        <v>0.129</v>
      </c>
      <c r="F13" s="8">
        <f>IF(E13="","",E13*'Multiplication factors'!$F$13)</f>
        <v>2.3983680000000001</v>
      </c>
      <c r="G13" s="7">
        <f t="shared" si="1"/>
        <v>5.37</v>
      </c>
      <c r="H13" s="8"/>
      <c r="I13" s="8">
        <v>2.2000000000000002</v>
      </c>
      <c r="J13" s="7">
        <f t="shared" si="2"/>
        <v>24.64</v>
      </c>
    </row>
    <row r="14" spans="1:10" x14ac:dyDescent="0.35">
      <c r="A14" s="1">
        <v>12</v>
      </c>
      <c r="B14" s="8">
        <v>1.3</v>
      </c>
      <c r="C14" s="8">
        <v>0.2</v>
      </c>
      <c r="D14" s="7">
        <f t="shared" si="0"/>
        <v>229.97</v>
      </c>
      <c r="E14" s="8">
        <v>0.13700000000000001</v>
      </c>
      <c r="F14" s="8">
        <f>IF(E14="","",E14*'Multiplication factors'!$F$13)</f>
        <v>2.547104</v>
      </c>
      <c r="G14" s="7">
        <f t="shared" si="1"/>
        <v>5.71</v>
      </c>
      <c r="H14" s="8"/>
      <c r="I14" s="8">
        <v>2.6</v>
      </c>
      <c r="J14" s="7">
        <f t="shared" si="2"/>
        <v>29.12</v>
      </c>
    </row>
    <row r="15" spans="1:10" x14ac:dyDescent="0.35">
      <c r="A15" s="1">
        <v>13</v>
      </c>
      <c r="B15" s="8">
        <v>1.3</v>
      </c>
      <c r="C15" s="8">
        <v>0.2</v>
      </c>
      <c r="D15" s="7">
        <f t="shared" si="0"/>
        <v>229.97</v>
      </c>
      <c r="E15" s="8">
        <v>0.14899999999999999</v>
      </c>
      <c r="F15" s="8">
        <f>IF(E15="","",E15*'Multiplication factors'!$F$13)</f>
        <v>2.7702079999999998</v>
      </c>
      <c r="G15" s="7">
        <f t="shared" si="1"/>
        <v>6.21</v>
      </c>
      <c r="H15" s="8"/>
      <c r="I15" s="8">
        <v>3.9</v>
      </c>
      <c r="J15" s="7">
        <f t="shared" si="2"/>
        <v>43.68</v>
      </c>
    </row>
    <row r="16" spans="1:10" x14ac:dyDescent="0.35">
      <c r="A16" s="1">
        <v>14</v>
      </c>
      <c r="B16" s="8">
        <v>1.2</v>
      </c>
      <c r="C16" s="8">
        <v>0.2</v>
      </c>
      <c r="D16" s="7">
        <f t="shared" si="0"/>
        <v>209.07</v>
      </c>
      <c r="E16" s="8">
        <v>0.159</v>
      </c>
      <c r="F16" s="8">
        <f>IF(E16="","",E16*'Multiplication factors'!$F$13)</f>
        <v>2.9561279999999996</v>
      </c>
      <c r="G16" s="7">
        <f t="shared" si="1"/>
        <v>6.62</v>
      </c>
      <c r="H16" s="8"/>
      <c r="I16" s="8">
        <v>3.6</v>
      </c>
      <c r="J16" s="7">
        <f t="shared" si="2"/>
        <v>40.32</v>
      </c>
    </row>
    <row r="17" spans="1:10" x14ac:dyDescent="0.35">
      <c r="A17" s="1">
        <v>15</v>
      </c>
      <c r="B17" s="8">
        <v>1.1000000000000001</v>
      </c>
      <c r="C17" s="8">
        <v>0.2</v>
      </c>
      <c r="D17" s="7">
        <f t="shared" si="0"/>
        <v>188.16</v>
      </c>
      <c r="E17" s="8">
        <v>0.14699999999999999</v>
      </c>
      <c r="F17" s="8">
        <f>IF(E17="","",E17*'Multiplication factors'!$F$13)</f>
        <v>2.7330239999999995</v>
      </c>
      <c r="G17" s="7">
        <f t="shared" si="1"/>
        <v>6.12</v>
      </c>
      <c r="H17" s="8"/>
      <c r="I17" s="8">
        <v>3.3</v>
      </c>
      <c r="J17" s="7">
        <f t="shared" si="2"/>
        <v>36.96</v>
      </c>
    </row>
    <row r="18" spans="1:10" x14ac:dyDescent="0.35">
      <c r="A18" s="1">
        <v>16</v>
      </c>
      <c r="B18" s="8">
        <v>1.1000000000000001</v>
      </c>
      <c r="C18" s="8">
        <v>0.2</v>
      </c>
      <c r="D18" s="7">
        <f t="shared" si="0"/>
        <v>188.16</v>
      </c>
      <c r="E18" s="8">
        <v>0.154</v>
      </c>
      <c r="F18" s="8">
        <f>IF(E18="","",E18*'Multiplication factors'!$F$13)</f>
        <v>2.8631679999999999</v>
      </c>
      <c r="G18" s="7">
        <f t="shared" si="1"/>
        <v>6.41</v>
      </c>
      <c r="H18" s="8"/>
      <c r="I18" s="8">
        <v>3.4</v>
      </c>
      <c r="J18" s="7">
        <f t="shared" si="2"/>
        <v>38.08</v>
      </c>
    </row>
    <row r="19" spans="1:10" x14ac:dyDescent="0.35">
      <c r="A19" s="1">
        <v>17</v>
      </c>
      <c r="B19" s="8">
        <v>1.3</v>
      </c>
      <c r="C19" s="8">
        <v>0.2</v>
      </c>
      <c r="D19" s="7">
        <f t="shared" si="0"/>
        <v>229.97</v>
      </c>
      <c r="E19" s="8">
        <v>0.151</v>
      </c>
      <c r="F19" s="8">
        <f>IF(E19="","",E19*'Multiplication factors'!$F$13)</f>
        <v>2.8073919999999997</v>
      </c>
      <c r="G19" s="7">
        <f t="shared" si="1"/>
        <v>6.29</v>
      </c>
      <c r="H19" s="8"/>
      <c r="I19" s="8">
        <v>2.5</v>
      </c>
      <c r="J19" s="7">
        <f t="shared" si="2"/>
        <v>28</v>
      </c>
    </row>
    <row r="20" spans="1:10" x14ac:dyDescent="0.35">
      <c r="A20" s="1">
        <v>18</v>
      </c>
      <c r="B20" s="8">
        <v>1.2</v>
      </c>
      <c r="C20" s="8">
        <v>0.2</v>
      </c>
      <c r="D20" s="7">
        <f t="shared" si="0"/>
        <v>209.07</v>
      </c>
      <c r="E20" s="8">
        <v>0.159</v>
      </c>
      <c r="F20" s="8">
        <f>IF(E20="","",E20*'Multiplication factors'!$F$13)</f>
        <v>2.9561279999999996</v>
      </c>
      <c r="G20" s="7">
        <f t="shared" si="1"/>
        <v>6.62</v>
      </c>
      <c r="H20" s="8"/>
      <c r="I20" s="8">
        <v>2.7</v>
      </c>
      <c r="J20" s="7">
        <f t="shared" si="2"/>
        <v>30.24</v>
      </c>
    </row>
    <row r="21" spans="1:10" x14ac:dyDescent="0.35">
      <c r="A21" s="1">
        <v>19</v>
      </c>
      <c r="B21" s="8">
        <v>1.4</v>
      </c>
      <c r="C21" s="8">
        <v>0.2</v>
      </c>
      <c r="D21" s="7">
        <f t="shared" si="0"/>
        <v>250.88</v>
      </c>
      <c r="E21" s="8">
        <v>0.14499999999999999</v>
      </c>
      <c r="F21" s="8">
        <f>IF(E21="","",E21*'Multiplication factors'!$F$13)</f>
        <v>2.6958399999999996</v>
      </c>
      <c r="G21" s="7">
        <f t="shared" si="1"/>
        <v>6.04</v>
      </c>
      <c r="H21" s="8"/>
      <c r="I21" s="8">
        <v>1.9</v>
      </c>
      <c r="J21" s="7">
        <f t="shared" si="2"/>
        <v>21.28</v>
      </c>
    </row>
    <row r="22" spans="1:10" x14ac:dyDescent="0.35">
      <c r="A22" s="1">
        <v>20</v>
      </c>
      <c r="B22" s="8">
        <v>1</v>
      </c>
      <c r="C22" s="8">
        <v>0.2</v>
      </c>
      <c r="D22" s="7">
        <f t="shared" si="0"/>
        <v>167.25</v>
      </c>
      <c r="E22" s="8">
        <v>0.124</v>
      </c>
      <c r="F22" s="8">
        <f>IF(E22="","",E22*'Multiplication factors'!$F$13)</f>
        <v>2.3054079999999999</v>
      </c>
      <c r="G22" s="7">
        <f t="shared" si="1"/>
        <v>5.16</v>
      </c>
      <c r="H22" s="8"/>
      <c r="I22" s="8">
        <v>2.9</v>
      </c>
      <c r="J22" s="7">
        <f t="shared" si="2"/>
        <v>32.479999999999997</v>
      </c>
    </row>
    <row r="23" spans="1:10" x14ac:dyDescent="0.35">
      <c r="A23" s="1">
        <v>21</v>
      </c>
      <c r="B23" s="8">
        <v>1.2</v>
      </c>
      <c r="C23" s="8">
        <v>0.2</v>
      </c>
      <c r="D23" s="7">
        <f t="shared" si="0"/>
        <v>209.07</v>
      </c>
      <c r="E23" s="8">
        <v>0.13500000000000001</v>
      </c>
      <c r="F23" s="8">
        <f>IF(E23="","",E23*'Multiplication factors'!$F$13)</f>
        <v>2.5099200000000002</v>
      </c>
      <c r="G23" s="7">
        <f t="shared" si="1"/>
        <v>5.62</v>
      </c>
      <c r="H23" s="8"/>
      <c r="I23" s="8">
        <v>3.6</v>
      </c>
      <c r="J23" s="7">
        <f t="shared" si="2"/>
        <v>40.32</v>
      </c>
    </row>
    <row r="24" spans="1:10" x14ac:dyDescent="0.35">
      <c r="A24" s="1">
        <v>22</v>
      </c>
      <c r="B24" s="8">
        <v>1.2</v>
      </c>
      <c r="C24" s="8">
        <v>0.2</v>
      </c>
      <c r="D24" s="7">
        <f t="shared" si="0"/>
        <v>209.07</v>
      </c>
      <c r="E24" s="8">
        <v>0.111</v>
      </c>
      <c r="F24" s="8">
        <f>IF(E24="","",E24*'Multiplication factors'!$F$13)</f>
        <v>2.0637119999999998</v>
      </c>
      <c r="G24" s="7">
        <f t="shared" si="1"/>
        <v>4.62</v>
      </c>
      <c r="H24" s="8"/>
      <c r="I24" s="8">
        <v>4.2</v>
      </c>
      <c r="J24" s="7">
        <f t="shared" si="2"/>
        <v>47.04</v>
      </c>
    </row>
    <row r="25" spans="1:10" x14ac:dyDescent="0.35">
      <c r="A25" s="1">
        <v>23</v>
      </c>
      <c r="B25" s="8">
        <v>1.2</v>
      </c>
      <c r="C25" s="8">
        <v>0.2</v>
      </c>
      <c r="D25" s="7">
        <f t="shared" si="0"/>
        <v>209.07</v>
      </c>
      <c r="E25" s="8">
        <v>0.104</v>
      </c>
      <c r="F25" s="8">
        <f>IF(E25="","",E25*'Multiplication factors'!$F$13)</f>
        <v>1.9335679999999997</v>
      </c>
      <c r="G25" s="7">
        <f t="shared" si="1"/>
        <v>4.33</v>
      </c>
      <c r="H25" s="8"/>
      <c r="I25" s="8">
        <v>5.9</v>
      </c>
      <c r="J25" s="7">
        <f t="shared" si="2"/>
        <v>66.08</v>
      </c>
    </row>
    <row r="26" spans="1:10" x14ac:dyDescent="0.35">
      <c r="A26" s="1">
        <v>24</v>
      </c>
      <c r="B26" s="8">
        <v>1.3</v>
      </c>
      <c r="C26" s="8">
        <v>0.2</v>
      </c>
      <c r="D26" s="7">
        <f t="shared" si="0"/>
        <v>229.97</v>
      </c>
      <c r="E26" s="8">
        <v>0.114</v>
      </c>
      <c r="F26" s="8">
        <f>IF(E26="","",E26*'Multiplication factors'!$F$13)</f>
        <v>2.119488</v>
      </c>
      <c r="G26" s="7">
        <f t="shared" si="1"/>
        <v>4.75</v>
      </c>
      <c r="H26" s="8"/>
      <c r="I26" s="8">
        <v>5.0999999999999996</v>
      </c>
      <c r="J26" s="7">
        <f t="shared" si="2"/>
        <v>57.12</v>
      </c>
    </row>
    <row r="27" spans="1:10" x14ac:dyDescent="0.35">
      <c r="A27" s="1">
        <v>25</v>
      </c>
      <c r="B27" s="8">
        <v>1.5</v>
      </c>
      <c r="C27" s="8">
        <v>0.2</v>
      </c>
      <c r="D27" s="7">
        <f t="shared" si="0"/>
        <v>271.79000000000002</v>
      </c>
      <c r="E27" s="8">
        <v>0.153</v>
      </c>
      <c r="F27" s="8">
        <f>IF(E27="","",E27*'Multiplication factors'!$F$13)</f>
        <v>2.8445759999999995</v>
      </c>
      <c r="G27" s="7">
        <f t="shared" si="1"/>
        <v>6.37</v>
      </c>
      <c r="H27" s="8"/>
      <c r="I27" s="8">
        <v>5.2</v>
      </c>
      <c r="J27" s="7">
        <f t="shared" si="2"/>
        <v>58.24</v>
      </c>
    </row>
    <row r="28" spans="1:10" x14ac:dyDescent="0.35">
      <c r="A28" s="1">
        <v>26</v>
      </c>
      <c r="B28" s="8">
        <v>1.2</v>
      </c>
      <c r="C28" s="8">
        <v>0.2</v>
      </c>
      <c r="D28" s="7">
        <f t="shared" si="0"/>
        <v>209.07</v>
      </c>
      <c r="E28" s="8">
        <v>0.14099999999999999</v>
      </c>
      <c r="F28" s="8">
        <f>IF(E28="","",E28*'Multiplication factors'!$F$13)</f>
        <v>2.6214719999999994</v>
      </c>
      <c r="G28" s="7">
        <f t="shared" si="1"/>
        <v>5.87</v>
      </c>
      <c r="H28" s="8"/>
      <c r="I28" s="8">
        <v>3.2</v>
      </c>
      <c r="J28" s="7">
        <f t="shared" si="2"/>
        <v>35.840000000000003</v>
      </c>
    </row>
    <row r="29" spans="1:10" x14ac:dyDescent="0.35">
      <c r="A29" s="1">
        <v>27</v>
      </c>
      <c r="B29" s="8">
        <v>1.2</v>
      </c>
      <c r="C29" s="8">
        <v>0.2</v>
      </c>
      <c r="D29" s="7">
        <f t="shared" si="0"/>
        <v>209.07</v>
      </c>
      <c r="E29" s="8">
        <v>0.10199999999999999</v>
      </c>
      <c r="F29" s="8">
        <f>IF(E29="","",E29*'Multiplication factors'!$F$13)</f>
        <v>1.8963839999999998</v>
      </c>
      <c r="G29" s="7">
        <f t="shared" si="1"/>
        <v>4.25</v>
      </c>
      <c r="H29" s="8"/>
      <c r="I29" s="8">
        <v>3.1</v>
      </c>
      <c r="J29" s="7">
        <f t="shared" si="2"/>
        <v>34.72</v>
      </c>
    </row>
    <row r="30" spans="1:10" x14ac:dyDescent="0.35">
      <c r="A30" s="1">
        <v>28</v>
      </c>
      <c r="B30" s="8">
        <v>1.1000000000000001</v>
      </c>
      <c r="C30" s="8">
        <v>0.2</v>
      </c>
      <c r="D30" s="7">
        <f t="shared" si="0"/>
        <v>188.16</v>
      </c>
      <c r="E30" s="8">
        <v>0.13200000000000001</v>
      </c>
      <c r="F30" s="8">
        <f>IF(E30="","",E30*'Multiplication factors'!$F$13)</f>
        <v>2.4541439999999999</v>
      </c>
      <c r="G30" s="7">
        <f t="shared" si="1"/>
        <v>5.5</v>
      </c>
      <c r="H30" s="8"/>
      <c r="I30" s="8">
        <v>3.2</v>
      </c>
      <c r="J30" s="7">
        <f t="shared" si="2"/>
        <v>35.840000000000003</v>
      </c>
    </row>
    <row r="31" spans="1:10" x14ac:dyDescent="0.35">
      <c r="A31" s="1">
        <v>29</v>
      </c>
      <c r="B31" s="8">
        <v>1.4</v>
      </c>
      <c r="C31" s="8">
        <v>0.2</v>
      </c>
      <c r="D31" s="7">
        <f t="shared" si="0"/>
        <v>250.88</v>
      </c>
      <c r="E31" s="8">
        <v>0.151</v>
      </c>
      <c r="F31" s="8">
        <f>IF(E31="","",E31*'Multiplication factors'!$F$13)</f>
        <v>2.8073919999999997</v>
      </c>
      <c r="G31" s="7">
        <f t="shared" si="1"/>
        <v>6.29</v>
      </c>
      <c r="H31" s="8"/>
      <c r="I31" s="8">
        <v>3.3</v>
      </c>
      <c r="J31" s="7">
        <f t="shared" si="2"/>
        <v>36.96</v>
      </c>
    </row>
    <row r="32" spans="1:10" x14ac:dyDescent="0.35">
      <c r="A32" s="1">
        <v>30</v>
      </c>
      <c r="B32" s="8">
        <v>1.1000000000000001</v>
      </c>
      <c r="C32" s="8">
        <v>0.2</v>
      </c>
      <c r="D32" s="7">
        <f t="shared" si="0"/>
        <v>188.16</v>
      </c>
      <c r="E32" s="8">
        <v>0.124</v>
      </c>
      <c r="F32" s="8">
        <f>IF(E32="","",E32*'Multiplication factors'!$F$13)</f>
        <v>2.3054079999999999</v>
      </c>
      <c r="G32" s="7">
        <f t="shared" si="1"/>
        <v>5.16</v>
      </c>
      <c r="H32" s="8"/>
      <c r="I32" s="8">
        <v>3.4</v>
      </c>
      <c r="J32" s="7">
        <f t="shared" si="2"/>
        <v>38.08</v>
      </c>
    </row>
    <row r="33" spans="1:10" x14ac:dyDescent="0.35">
      <c r="A33" s="1">
        <v>31</v>
      </c>
      <c r="B33" s="8">
        <v>0.9</v>
      </c>
      <c r="C33" s="8">
        <v>0.2</v>
      </c>
      <c r="D33" s="7">
        <f t="shared" si="0"/>
        <v>146.35</v>
      </c>
      <c r="E33" s="8">
        <v>0.122</v>
      </c>
      <c r="F33" s="8">
        <f>IF(E33="","",E33*'Multiplication factors'!$F$13)</f>
        <v>2.268224</v>
      </c>
      <c r="G33" s="7">
        <f t="shared" si="1"/>
        <v>5.08</v>
      </c>
      <c r="H33" s="8"/>
      <c r="I33" s="8">
        <v>3.5</v>
      </c>
      <c r="J33" s="7">
        <f t="shared" si="2"/>
        <v>39.200000000000003</v>
      </c>
    </row>
    <row r="34" spans="1:10" x14ac:dyDescent="0.35">
      <c r="A34" s="1">
        <v>32</v>
      </c>
      <c r="B34" s="8">
        <v>1.2</v>
      </c>
      <c r="C34" s="8">
        <v>0.2</v>
      </c>
      <c r="D34" s="7">
        <f t="shared" si="0"/>
        <v>209.07</v>
      </c>
      <c r="E34" s="8">
        <v>0.13200000000000001</v>
      </c>
      <c r="F34" s="8">
        <f>IF(E34="","",E34*'Multiplication factors'!$F$13)</f>
        <v>2.4541439999999999</v>
      </c>
      <c r="G34" s="7">
        <f t="shared" si="1"/>
        <v>5.5</v>
      </c>
      <c r="H34" s="8"/>
      <c r="I34" s="8">
        <v>3.7</v>
      </c>
      <c r="J34" s="7">
        <f t="shared" si="2"/>
        <v>41.44</v>
      </c>
    </row>
    <row r="35" spans="1:10" x14ac:dyDescent="0.35">
      <c r="A35" s="1">
        <v>33</v>
      </c>
      <c r="B35" s="8">
        <v>1.2</v>
      </c>
      <c r="C35" s="8">
        <v>0.2</v>
      </c>
      <c r="D35" s="7">
        <f t="shared" si="0"/>
        <v>209.07</v>
      </c>
      <c r="E35" s="8">
        <v>0.13200000000000001</v>
      </c>
      <c r="F35" s="8">
        <f>IF(E35="","",E35*'Multiplication factors'!$F$13)</f>
        <v>2.4541439999999999</v>
      </c>
      <c r="G35" s="7">
        <f t="shared" si="1"/>
        <v>5.5</v>
      </c>
      <c r="H35" s="8"/>
      <c r="I35" s="8">
        <v>3.8</v>
      </c>
      <c r="J35" s="7">
        <f t="shared" si="2"/>
        <v>42.56</v>
      </c>
    </row>
    <row r="36" spans="1:10" x14ac:dyDescent="0.35">
      <c r="A36" s="1">
        <v>34</v>
      </c>
      <c r="B36" s="8">
        <v>1.1000000000000001</v>
      </c>
      <c r="C36" s="8">
        <v>0.2</v>
      </c>
      <c r="D36" s="7">
        <f t="shared" si="0"/>
        <v>188.16</v>
      </c>
      <c r="E36" s="8">
        <v>0.128</v>
      </c>
      <c r="F36" s="8">
        <f>IF(E36="","",E36*'Multiplication factors'!$F$13)</f>
        <v>2.3797759999999997</v>
      </c>
      <c r="G36" s="7">
        <f t="shared" si="1"/>
        <v>5.33</v>
      </c>
      <c r="H36" s="8"/>
      <c r="I36" s="8">
        <v>3.9</v>
      </c>
      <c r="J36" s="7">
        <f t="shared" si="2"/>
        <v>43.68</v>
      </c>
    </row>
    <row r="37" spans="1:10" x14ac:dyDescent="0.35">
      <c r="A37" s="1">
        <v>35</v>
      </c>
      <c r="B37" s="8">
        <v>1.4</v>
      </c>
      <c r="C37" s="8">
        <v>0.2</v>
      </c>
      <c r="D37" s="7">
        <f t="shared" si="0"/>
        <v>250.88</v>
      </c>
      <c r="E37" s="8">
        <v>0.15</v>
      </c>
      <c r="F37" s="8">
        <f>IF(E37="","",E37*'Multiplication factors'!$F$13)</f>
        <v>2.7887999999999997</v>
      </c>
      <c r="G37" s="7">
        <f t="shared" si="1"/>
        <v>6.25</v>
      </c>
      <c r="H37" s="8"/>
      <c r="I37" s="8">
        <v>3.7</v>
      </c>
      <c r="J37" s="7">
        <f t="shared" si="2"/>
        <v>41.44</v>
      </c>
    </row>
    <row r="38" spans="1:10" x14ac:dyDescent="0.35">
      <c r="A38" s="1">
        <v>36</v>
      </c>
      <c r="B38" s="8">
        <v>1</v>
      </c>
      <c r="C38" s="8">
        <v>0.2</v>
      </c>
      <c r="D38" s="7">
        <f t="shared" si="0"/>
        <v>167.25</v>
      </c>
      <c r="E38" s="8">
        <v>0.123</v>
      </c>
      <c r="F38" s="8">
        <f>IF(E38="","",E38*'Multiplication factors'!$F$13)</f>
        <v>2.286816</v>
      </c>
      <c r="G38" s="7">
        <f t="shared" si="1"/>
        <v>5.12</v>
      </c>
      <c r="H38" s="8"/>
      <c r="I38" s="8">
        <v>3.8</v>
      </c>
      <c r="J38" s="7">
        <f t="shared" si="2"/>
        <v>42.56</v>
      </c>
    </row>
    <row r="39" spans="1:10" x14ac:dyDescent="0.35">
      <c r="A39" s="1">
        <v>37</v>
      </c>
      <c r="B39" s="8">
        <v>1</v>
      </c>
      <c r="C39" s="8">
        <v>0.2</v>
      </c>
      <c r="D39" s="7">
        <f t="shared" si="0"/>
        <v>167.25</v>
      </c>
      <c r="E39" s="8">
        <v>0.13800000000000001</v>
      </c>
      <c r="F39" s="8">
        <f>IF(E39="","",E39*'Multiplication factors'!$F$13)</f>
        <v>2.565696</v>
      </c>
      <c r="G39" s="7">
        <f t="shared" si="1"/>
        <v>5.75</v>
      </c>
      <c r="H39" s="8"/>
      <c r="I39" s="8">
        <v>3.9</v>
      </c>
      <c r="J39" s="7">
        <f t="shared" si="2"/>
        <v>43.68</v>
      </c>
    </row>
    <row r="40" spans="1:10" x14ac:dyDescent="0.35">
      <c r="A40" s="1">
        <v>38</v>
      </c>
      <c r="B40" s="8">
        <v>1</v>
      </c>
      <c r="C40" s="8">
        <v>0.2</v>
      </c>
      <c r="D40" s="7">
        <f t="shared" si="0"/>
        <v>167.25</v>
      </c>
      <c r="E40" s="8">
        <v>0.16</v>
      </c>
      <c r="F40" s="8">
        <f>IF(E40="","",E40*'Multiplication factors'!$F$13)</f>
        <v>2.97472</v>
      </c>
      <c r="G40" s="7">
        <f t="shared" si="1"/>
        <v>6.66</v>
      </c>
      <c r="H40" s="8"/>
      <c r="I40" s="8">
        <v>4</v>
      </c>
      <c r="J40" s="7">
        <f t="shared" si="2"/>
        <v>44.8</v>
      </c>
    </row>
    <row r="41" spans="1:10" x14ac:dyDescent="0.35">
      <c r="A41" s="1">
        <v>39</v>
      </c>
      <c r="B41" s="8">
        <v>1.3</v>
      </c>
      <c r="C41" s="8">
        <v>0.2</v>
      </c>
      <c r="D41" s="7">
        <f t="shared" si="0"/>
        <v>229.97</v>
      </c>
      <c r="E41" s="8">
        <v>0.184</v>
      </c>
      <c r="F41" s="8">
        <f>IF(E41="","",E41*'Multiplication factors'!$F$13)</f>
        <v>3.4209279999999995</v>
      </c>
      <c r="G41" s="7">
        <f t="shared" si="1"/>
        <v>7.66</v>
      </c>
      <c r="H41" s="8"/>
      <c r="I41" s="8">
        <v>4.5</v>
      </c>
      <c r="J41" s="7">
        <f t="shared" si="2"/>
        <v>50.4</v>
      </c>
    </row>
    <row r="42" spans="1:10" x14ac:dyDescent="0.35">
      <c r="A42" s="1">
        <v>40</v>
      </c>
      <c r="B42" s="8">
        <v>1.2</v>
      </c>
      <c r="C42" s="8">
        <v>0.2</v>
      </c>
      <c r="D42" s="7">
        <f t="shared" si="0"/>
        <v>209.07</v>
      </c>
      <c r="E42" s="8">
        <v>0.13400000000000001</v>
      </c>
      <c r="F42" s="8">
        <f>IF(E42="","",E42*'Multiplication factors'!$F$13)</f>
        <v>2.4913279999999998</v>
      </c>
      <c r="G42" s="7">
        <f t="shared" si="1"/>
        <v>5.58</v>
      </c>
      <c r="H42" s="8"/>
      <c r="I42" s="8">
        <v>4.0999999999999996</v>
      </c>
      <c r="J42" s="7">
        <f t="shared" si="2"/>
        <v>45.92</v>
      </c>
    </row>
    <row r="43" spans="1:10" x14ac:dyDescent="0.35">
      <c r="A43" s="1">
        <v>41</v>
      </c>
      <c r="B43" s="8">
        <v>1.1000000000000001</v>
      </c>
      <c r="C43" s="8">
        <v>0.2</v>
      </c>
      <c r="D43" s="7">
        <f t="shared" si="0"/>
        <v>188.16</v>
      </c>
      <c r="E43" s="8">
        <v>0.14199999999999999</v>
      </c>
      <c r="F43" s="8">
        <f>IF(E43="","",E43*'Multiplication factors'!$F$13)</f>
        <v>2.6400639999999997</v>
      </c>
      <c r="G43" s="7">
        <f t="shared" si="1"/>
        <v>5.91</v>
      </c>
      <c r="H43" s="8"/>
      <c r="I43" s="8">
        <v>4.0999999999999996</v>
      </c>
      <c r="J43" s="7">
        <f t="shared" si="2"/>
        <v>45.92</v>
      </c>
    </row>
    <row r="44" spans="1:10" x14ac:dyDescent="0.35">
      <c r="A44" s="1">
        <v>42</v>
      </c>
      <c r="B44" s="8">
        <v>1.2</v>
      </c>
      <c r="C44" s="8">
        <v>0.2</v>
      </c>
      <c r="D44" s="7">
        <f t="shared" si="0"/>
        <v>209.07</v>
      </c>
      <c r="E44" s="8">
        <v>0.13100000000000001</v>
      </c>
      <c r="F44" s="8">
        <f>IF(E44="","",E44*'Multiplication factors'!$F$13)</f>
        <v>2.4355519999999999</v>
      </c>
      <c r="G44" s="7">
        <f t="shared" si="1"/>
        <v>5.46</v>
      </c>
      <c r="H44" s="8"/>
      <c r="I44" s="8">
        <v>4.5999999999999996</v>
      </c>
      <c r="J44" s="7">
        <f t="shared" si="2"/>
        <v>51.52</v>
      </c>
    </row>
    <row r="45" spans="1:10" x14ac:dyDescent="0.35">
      <c r="A45" s="1">
        <v>43</v>
      </c>
      <c r="B45" s="8">
        <v>1.3</v>
      </c>
      <c r="C45" s="8">
        <v>0.2</v>
      </c>
      <c r="D45" s="7">
        <f t="shared" si="0"/>
        <v>229.97</v>
      </c>
      <c r="E45" s="8">
        <v>0.10299999999999999</v>
      </c>
      <c r="F45" s="8">
        <f>IF(E45="","",E45*'Multiplication factors'!$F$13)</f>
        <v>1.9149759999999998</v>
      </c>
      <c r="G45" s="7">
        <f t="shared" si="1"/>
        <v>4.29</v>
      </c>
      <c r="H45" s="8"/>
      <c r="I45" s="8">
        <v>2.8</v>
      </c>
      <c r="J45" s="7">
        <f t="shared" si="2"/>
        <v>31.36</v>
      </c>
    </row>
    <row r="46" spans="1:10" x14ac:dyDescent="0.35">
      <c r="A46" s="1">
        <v>44</v>
      </c>
      <c r="B46" s="8">
        <v>1</v>
      </c>
      <c r="C46" s="8">
        <v>0.2</v>
      </c>
      <c r="D46" s="7">
        <f t="shared" si="0"/>
        <v>167.25</v>
      </c>
      <c r="E46" s="8">
        <v>0.128</v>
      </c>
      <c r="F46" s="8">
        <f>IF(E46="","",E46*'Multiplication factors'!$F$13)</f>
        <v>2.3797759999999997</v>
      </c>
      <c r="G46" s="7">
        <f t="shared" si="1"/>
        <v>5.33</v>
      </c>
      <c r="H46" s="8"/>
      <c r="I46" s="8">
        <v>2.9</v>
      </c>
      <c r="J46" s="7">
        <f t="shared" si="2"/>
        <v>32.479999999999997</v>
      </c>
    </row>
    <row r="47" spans="1:10" x14ac:dyDescent="0.35">
      <c r="A47" s="1">
        <v>45</v>
      </c>
      <c r="B47" s="8">
        <v>0.9</v>
      </c>
      <c r="C47" s="8">
        <v>0.2</v>
      </c>
      <c r="D47" s="7">
        <f t="shared" si="0"/>
        <v>146.35</v>
      </c>
      <c r="E47" s="8">
        <v>0.13800000000000001</v>
      </c>
      <c r="F47" s="8">
        <f>IF(E47="","",E47*'Multiplication factors'!$F$13)</f>
        <v>2.565696</v>
      </c>
      <c r="G47" s="7">
        <f t="shared" si="1"/>
        <v>5.75</v>
      </c>
      <c r="H47" s="8"/>
      <c r="I47" s="8">
        <v>1.5</v>
      </c>
      <c r="J47" s="7">
        <f t="shared" si="2"/>
        <v>16.8</v>
      </c>
    </row>
    <row r="48" spans="1:10" x14ac:dyDescent="0.35">
      <c r="A48" s="1">
        <v>46</v>
      </c>
      <c r="B48" s="8">
        <v>1.2</v>
      </c>
      <c r="C48" s="8">
        <v>0.2</v>
      </c>
      <c r="D48" s="7">
        <f t="shared" si="0"/>
        <v>209.07</v>
      </c>
      <c r="E48" s="8">
        <v>0.129</v>
      </c>
      <c r="F48" s="8">
        <f>IF(E48="","",E48*'Multiplication factors'!$F$13)</f>
        <v>2.3983680000000001</v>
      </c>
      <c r="G48" s="7">
        <f t="shared" si="1"/>
        <v>5.37</v>
      </c>
      <c r="H48" s="8"/>
      <c r="I48" s="8">
        <v>2.6</v>
      </c>
      <c r="J48" s="7">
        <f t="shared" si="2"/>
        <v>29.12</v>
      </c>
    </row>
    <row r="49" spans="1:10" x14ac:dyDescent="0.35">
      <c r="A49" s="1">
        <v>47</v>
      </c>
      <c r="B49" s="8">
        <v>1.1000000000000001</v>
      </c>
      <c r="C49" s="8">
        <v>0.2</v>
      </c>
      <c r="D49" s="7">
        <f t="shared" si="0"/>
        <v>188.16</v>
      </c>
      <c r="E49" s="8">
        <v>0.121</v>
      </c>
      <c r="F49" s="8">
        <f>IF(E49="","",E49*'Multiplication factors'!$F$13)</f>
        <v>2.2496319999999996</v>
      </c>
      <c r="G49" s="7">
        <f t="shared" si="1"/>
        <v>5.04</v>
      </c>
      <c r="H49" s="8"/>
      <c r="I49" s="8">
        <v>3.2</v>
      </c>
      <c r="J49" s="7">
        <f t="shared" si="2"/>
        <v>35.840000000000003</v>
      </c>
    </row>
    <row r="50" spans="1:10" x14ac:dyDescent="0.35">
      <c r="A50" s="1">
        <v>48</v>
      </c>
      <c r="B50" s="8">
        <v>1.1000000000000001</v>
      </c>
      <c r="C50" s="8">
        <v>0.2</v>
      </c>
      <c r="D50" s="7">
        <f t="shared" si="0"/>
        <v>188.16</v>
      </c>
      <c r="E50" s="8">
        <v>0.114</v>
      </c>
      <c r="F50" s="8">
        <f>IF(E50="","",E50*'Multiplication factors'!$F$13)</f>
        <v>2.119488</v>
      </c>
      <c r="G50" s="7">
        <f t="shared" si="1"/>
        <v>4.75</v>
      </c>
      <c r="H50" s="8"/>
      <c r="I50" s="8">
        <v>1.7</v>
      </c>
      <c r="J50" s="7">
        <f t="shared" si="2"/>
        <v>19.04</v>
      </c>
    </row>
    <row r="51" spans="1:10" x14ac:dyDescent="0.35">
      <c r="A51" s="1">
        <v>49</v>
      </c>
      <c r="B51" s="8">
        <v>1.2</v>
      </c>
      <c r="C51" s="8">
        <v>0.2</v>
      </c>
      <c r="D51" s="7">
        <f t="shared" si="0"/>
        <v>209.07</v>
      </c>
      <c r="E51" s="8">
        <v>0.13400000000000001</v>
      </c>
      <c r="F51" s="8">
        <f>IF(E51="","",E51*'Multiplication factors'!$F$13)</f>
        <v>2.4913279999999998</v>
      </c>
      <c r="G51" s="7">
        <f t="shared" si="1"/>
        <v>5.58</v>
      </c>
      <c r="H51" s="8"/>
      <c r="I51" s="8">
        <v>3.3</v>
      </c>
      <c r="J51" s="7">
        <f t="shared" si="2"/>
        <v>36.96</v>
      </c>
    </row>
    <row r="52" spans="1:10" x14ac:dyDescent="0.35">
      <c r="A52" s="1">
        <v>50</v>
      </c>
      <c r="B52" s="8">
        <v>1.2</v>
      </c>
      <c r="C52" s="8">
        <v>0.2</v>
      </c>
      <c r="D52" s="7">
        <f t="shared" si="0"/>
        <v>209.07</v>
      </c>
      <c r="E52" s="8">
        <v>0.11700000000000001</v>
      </c>
      <c r="F52" s="8">
        <f>IF(E52="","",E52*'Multiplication factors'!$F$13)</f>
        <v>2.1752639999999999</v>
      </c>
      <c r="G52" s="7">
        <f t="shared" si="1"/>
        <v>4.87</v>
      </c>
      <c r="H52" s="8"/>
      <c r="I52" s="8">
        <v>1.9</v>
      </c>
      <c r="J52" s="7">
        <f t="shared" si="2"/>
        <v>21.28</v>
      </c>
    </row>
    <row r="53" spans="1:10" x14ac:dyDescent="0.35">
      <c r="A53" s="1">
        <v>51</v>
      </c>
      <c r="B53" s="8">
        <v>1.3</v>
      </c>
      <c r="C53" s="8">
        <v>0.2</v>
      </c>
      <c r="D53" s="7">
        <f t="shared" si="0"/>
        <v>229.97</v>
      </c>
      <c r="E53" s="8">
        <v>8.4000000000000005E-2</v>
      </c>
      <c r="F53" s="8">
        <f>IF(E53="","",E53*'Multiplication factors'!$F$13)</f>
        <v>1.561728</v>
      </c>
      <c r="G53" s="7">
        <f t="shared" si="1"/>
        <v>3.5</v>
      </c>
      <c r="H53" s="8"/>
      <c r="I53" s="8">
        <v>3.8</v>
      </c>
      <c r="J53" s="7">
        <f t="shared" si="2"/>
        <v>42.56</v>
      </c>
    </row>
    <row r="54" spans="1:10" x14ac:dyDescent="0.35">
      <c r="A54" s="1">
        <v>52</v>
      </c>
      <c r="B54" s="8">
        <v>1.3</v>
      </c>
      <c r="C54" s="8">
        <v>0.2</v>
      </c>
      <c r="D54" s="7">
        <f t="shared" si="0"/>
        <v>229.97</v>
      </c>
      <c r="E54" s="8">
        <v>7.6999999999999999E-2</v>
      </c>
      <c r="F54" s="8">
        <f>IF(E54="","",E54*'Multiplication factors'!$F$13)</f>
        <v>1.431584</v>
      </c>
      <c r="G54" s="7">
        <f t="shared" si="1"/>
        <v>3.21</v>
      </c>
      <c r="H54" s="8"/>
      <c r="I54" s="8">
        <v>2.2000000000000002</v>
      </c>
      <c r="J54" s="7">
        <f t="shared" si="2"/>
        <v>24.64</v>
      </c>
    </row>
    <row r="55" spans="1:10" x14ac:dyDescent="0.35">
      <c r="A55" s="1">
        <v>53</v>
      </c>
      <c r="B55" s="8">
        <v>1.2</v>
      </c>
      <c r="C55" s="8">
        <v>0.2</v>
      </c>
      <c r="D55" s="7">
        <f t="shared" si="0"/>
        <v>209.07</v>
      </c>
      <c r="E55" s="8">
        <v>7.6999999999999999E-2</v>
      </c>
      <c r="F55" s="8">
        <f>IF(E55="","",E55*'Multiplication factors'!$F$13)</f>
        <v>1.431584</v>
      </c>
      <c r="G55" s="7">
        <f t="shared" si="1"/>
        <v>3.21</v>
      </c>
      <c r="H55" s="8"/>
      <c r="I55" s="8">
        <v>2.6</v>
      </c>
      <c r="J55" s="7">
        <f t="shared" si="2"/>
        <v>29.12</v>
      </c>
    </row>
    <row r="56" spans="1:10" x14ac:dyDescent="0.35">
      <c r="A56" s="1">
        <v>54</v>
      </c>
      <c r="B56" s="8">
        <v>1.3</v>
      </c>
      <c r="C56" s="8">
        <v>0.2</v>
      </c>
      <c r="D56" s="7">
        <f t="shared" si="0"/>
        <v>229.97</v>
      </c>
      <c r="E56" s="8">
        <v>2.4E-2</v>
      </c>
      <c r="F56" s="8">
        <f>IF(E56="","",E56*'Multiplication factors'!$F$13)</f>
        <v>0.44620799999999999</v>
      </c>
      <c r="G56" s="7">
        <f t="shared" si="1"/>
        <v>1</v>
      </c>
      <c r="H56" s="8"/>
      <c r="I56" s="8">
        <v>2.7</v>
      </c>
      <c r="J56" s="7">
        <f t="shared" si="2"/>
        <v>30.24</v>
      </c>
    </row>
    <row r="57" spans="1:10" x14ac:dyDescent="0.35">
      <c r="A57" s="1">
        <v>55</v>
      </c>
      <c r="B57" s="8">
        <v>1.2</v>
      </c>
      <c r="C57" s="8">
        <v>0.2</v>
      </c>
      <c r="D57" s="7">
        <f t="shared" si="0"/>
        <v>209.07</v>
      </c>
      <c r="E57" s="8">
        <v>4.2999999999999997E-2</v>
      </c>
      <c r="F57" s="8">
        <f>IF(E57="","",E57*'Multiplication factors'!$F$13)</f>
        <v>0.79945599999999983</v>
      </c>
      <c r="G57" s="7">
        <f t="shared" si="1"/>
        <v>1.79</v>
      </c>
      <c r="H57" s="8"/>
      <c r="I57" s="8">
        <v>4.9000000000000004</v>
      </c>
      <c r="J57" s="7">
        <f t="shared" si="2"/>
        <v>54.88</v>
      </c>
    </row>
    <row r="58" spans="1:10" x14ac:dyDescent="0.35">
      <c r="A58" s="1">
        <v>56</v>
      </c>
      <c r="B58" s="8">
        <v>1.4</v>
      </c>
      <c r="C58" s="8">
        <v>0.2</v>
      </c>
      <c r="D58" s="7">
        <f t="shared" si="0"/>
        <v>250.88</v>
      </c>
      <c r="E58" s="8">
        <v>1.2E-2</v>
      </c>
      <c r="F58" s="8">
        <f>IF(E58="","",E58*'Multiplication factors'!$F$13)</f>
        <v>0.223104</v>
      </c>
      <c r="G58" s="7">
        <f t="shared" si="1"/>
        <v>0.5</v>
      </c>
      <c r="H58" s="8"/>
      <c r="I58" s="8">
        <v>5.6</v>
      </c>
      <c r="J58" s="7">
        <f t="shared" si="2"/>
        <v>62.72</v>
      </c>
    </row>
    <row r="59" spans="1:10" x14ac:dyDescent="0.35">
      <c r="A59" s="1">
        <v>57</v>
      </c>
      <c r="B59" s="8">
        <v>1.1000000000000001</v>
      </c>
      <c r="C59" s="8">
        <v>0.2</v>
      </c>
      <c r="D59" s="7">
        <f t="shared" si="0"/>
        <v>188.16</v>
      </c>
      <c r="E59" s="8">
        <v>8.8999999999999996E-2</v>
      </c>
      <c r="F59" s="8">
        <f>IF(E59="","",E59*'Multiplication factors'!$F$13)</f>
        <v>1.6546879999999997</v>
      </c>
      <c r="G59" s="7">
        <f t="shared" si="1"/>
        <v>3.71</v>
      </c>
      <c r="H59" s="8"/>
      <c r="I59" s="8">
        <v>6.1</v>
      </c>
      <c r="J59" s="7">
        <f t="shared" si="2"/>
        <v>68.319999999999993</v>
      </c>
    </row>
    <row r="60" spans="1:10" x14ac:dyDescent="0.35">
      <c r="A60" s="1">
        <v>58</v>
      </c>
      <c r="B60" s="8">
        <v>0.8</v>
      </c>
      <c r="C60" s="8">
        <v>0.2</v>
      </c>
      <c r="D60" s="7">
        <f t="shared" si="0"/>
        <v>125.44</v>
      </c>
      <c r="E60" s="8">
        <v>8.3000000000000004E-2</v>
      </c>
      <c r="F60" s="8">
        <f>IF(E60="","",E60*'Multiplication factors'!$F$13)</f>
        <v>1.5431360000000001</v>
      </c>
      <c r="G60" s="7">
        <f t="shared" si="1"/>
        <v>3.46</v>
      </c>
      <c r="H60" s="8"/>
      <c r="I60" s="8">
        <v>1.8</v>
      </c>
      <c r="J60" s="7">
        <f t="shared" si="2"/>
        <v>20.16</v>
      </c>
    </row>
    <row r="61" spans="1:10" x14ac:dyDescent="0.35">
      <c r="A61" s="1">
        <v>59</v>
      </c>
      <c r="B61" s="8">
        <v>0.5</v>
      </c>
      <c r="C61" s="8">
        <v>0.2</v>
      </c>
      <c r="D61" s="7">
        <f t="shared" si="0"/>
        <v>62.72</v>
      </c>
      <c r="E61" s="8">
        <v>9.1999999999999998E-2</v>
      </c>
      <c r="F61" s="8">
        <f>IF(E61="","",E61*'Multiplication factors'!$F$13)</f>
        <v>1.7104639999999998</v>
      </c>
      <c r="G61" s="7">
        <f t="shared" si="1"/>
        <v>3.83</v>
      </c>
      <c r="H61" s="8"/>
      <c r="I61" s="8">
        <v>6.8</v>
      </c>
      <c r="J61" s="7">
        <f t="shared" si="2"/>
        <v>76.16</v>
      </c>
    </row>
    <row r="62" spans="1:10" x14ac:dyDescent="0.35">
      <c r="A62" s="1">
        <v>60</v>
      </c>
      <c r="B62" s="8">
        <v>0.6</v>
      </c>
      <c r="C62" s="8">
        <v>0.2</v>
      </c>
      <c r="D62" s="7">
        <f t="shared" si="0"/>
        <v>83.63</v>
      </c>
      <c r="E62" s="8">
        <v>7.6999999999999999E-2</v>
      </c>
      <c r="F62" s="8">
        <f>IF(E62="","",E62*'Multiplication factors'!$F$13)</f>
        <v>1.431584</v>
      </c>
      <c r="G62" s="7">
        <f t="shared" si="1"/>
        <v>3.21</v>
      </c>
      <c r="H62" s="8"/>
      <c r="I62" s="8">
        <v>1.7</v>
      </c>
      <c r="J62" s="7">
        <f t="shared" si="2"/>
        <v>19.04</v>
      </c>
    </row>
    <row r="63" spans="1:10" x14ac:dyDescent="0.35">
      <c r="A63" s="1">
        <v>61</v>
      </c>
      <c r="B63" s="8">
        <v>1.4</v>
      </c>
      <c r="C63" s="8">
        <v>0.2</v>
      </c>
      <c r="D63" s="7">
        <f t="shared" si="0"/>
        <v>250.88</v>
      </c>
      <c r="E63" s="8">
        <v>8.6999999999999994E-2</v>
      </c>
      <c r="F63" s="8">
        <f>IF(E63="","",E63*'Multiplication factors'!$F$13)</f>
        <v>1.6175039999999998</v>
      </c>
      <c r="G63" s="7">
        <f t="shared" si="1"/>
        <v>3.62</v>
      </c>
      <c r="H63" s="8"/>
      <c r="I63" s="8">
        <v>6.8</v>
      </c>
      <c r="J63" s="7">
        <f t="shared" si="2"/>
        <v>76.16</v>
      </c>
    </row>
    <row r="64" spans="1:10" x14ac:dyDescent="0.35">
      <c r="A64" s="1">
        <v>62</v>
      </c>
      <c r="B64" s="8">
        <v>1.4</v>
      </c>
      <c r="C64" s="8">
        <v>0.2</v>
      </c>
      <c r="D64" s="7">
        <f t="shared" si="0"/>
        <v>250.88</v>
      </c>
      <c r="E64" s="8">
        <v>0.08</v>
      </c>
      <c r="F64" s="8">
        <f>IF(E64="","",E64*'Multiplication factors'!$F$13)</f>
        <v>1.48736</v>
      </c>
      <c r="G64" s="7">
        <f t="shared" si="1"/>
        <v>3.33</v>
      </c>
      <c r="H64" s="8"/>
      <c r="I64" s="8">
        <v>3.9</v>
      </c>
      <c r="J64" s="7">
        <f t="shared" si="2"/>
        <v>43.68</v>
      </c>
    </row>
    <row r="65" spans="1:10" x14ac:dyDescent="0.35">
      <c r="A65" s="1">
        <v>63</v>
      </c>
      <c r="B65" s="8">
        <v>1.2</v>
      </c>
      <c r="C65" s="8">
        <v>0.2</v>
      </c>
      <c r="D65" s="7">
        <f t="shared" si="0"/>
        <v>209.07</v>
      </c>
      <c r="E65" s="8">
        <v>1.4E-2</v>
      </c>
      <c r="F65" s="8">
        <f>IF(E65="","",E65*'Multiplication factors'!$F$13)</f>
        <v>0.26028799999999996</v>
      </c>
      <c r="G65" s="7">
        <f t="shared" si="1"/>
        <v>0.57999999999999996</v>
      </c>
      <c r="H65" s="8"/>
      <c r="I65" s="8">
        <v>4.8</v>
      </c>
      <c r="J65" s="7">
        <f t="shared" si="2"/>
        <v>53.76</v>
      </c>
    </row>
    <row r="66" spans="1:10" x14ac:dyDescent="0.35">
      <c r="A66" s="1">
        <v>64</v>
      </c>
      <c r="B66" s="8">
        <v>1.2</v>
      </c>
      <c r="C66" s="8">
        <v>0.2</v>
      </c>
      <c r="D66" s="7">
        <f t="shared" si="0"/>
        <v>209.07</v>
      </c>
      <c r="E66" s="8">
        <v>8.4000000000000005E-2</v>
      </c>
      <c r="F66" s="8">
        <f>IF(E66="","",E66*'Multiplication factors'!$F$13)</f>
        <v>1.561728</v>
      </c>
      <c r="G66" s="7">
        <f t="shared" si="1"/>
        <v>3.5</v>
      </c>
      <c r="H66" s="8"/>
      <c r="I66" s="8">
        <v>5.7</v>
      </c>
      <c r="J66" s="7">
        <f t="shared" si="2"/>
        <v>63.84</v>
      </c>
    </row>
    <row r="67" spans="1:10" x14ac:dyDescent="0.35">
      <c r="A67" s="1">
        <v>65</v>
      </c>
      <c r="B67" s="8">
        <v>1.2</v>
      </c>
      <c r="C67" s="8">
        <v>0.2</v>
      </c>
      <c r="D67" s="7">
        <f t="shared" si="0"/>
        <v>209.07</v>
      </c>
      <c r="E67" s="8">
        <v>0.09</v>
      </c>
      <c r="F67" s="8">
        <f>IF(E67="","",E67*'Multiplication factors'!$F$13)</f>
        <v>1.6732799999999999</v>
      </c>
      <c r="G67" s="7">
        <f t="shared" si="1"/>
        <v>3.75</v>
      </c>
      <c r="H67" s="8"/>
      <c r="I67" s="8">
        <v>6.2</v>
      </c>
      <c r="J67" s="7">
        <f t="shared" si="2"/>
        <v>69.44</v>
      </c>
    </row>
    <row r="68" spans="1:10" x14ac:dyDescent="0.35">
      <c r="A68" s="1">
        <v>66</v>
      </c>
      <c r="B68" s="8">
        <v>1.2</v>
      </c>
      <c r="C68" s="8">
        <v>0.2</v>
      </c>
      <c r="D68" s="7">
        <f t="shared" ref="D68:D127" si="3">IF(B68="","",ROUND((B68-C68)*209.067,2))</f>
        <v>209.07</v>
      </c>
      <c r="E68" s="8">
        <v>8.2000000000000003E-2</v>
      </c>
      <c r="F68" s="8">
        <f>IF(E68="","",E68*'Multiplication factors'!$F$13)</f>
        <v>1.5245439999999999</v>
      </c>
      <c r="G68" s="7">
        <f t="shared" ref="G68:G127" si="4">IF(E68="","",ROUND(F68*2.24,2))</f>
        <v>3.41</v>
      </c>
      <c r="H68" s="8"/>
      <c r="I68" s="8">
        <v>1.5</v>
      </c>
      <c r="J68" s="7">
        <f t="shared" ref="J68:J127" si="5">IF(I68="","",ROUND(I68*11.2,2))</f>
        <v>16.8</v>
      </c>
    </row>
    <row r="69" spans="1:10" x14ac:dyDescent="0.35">
      <c r="A69" s="1">
        <v>67</v>
      </c>
      <c r="B69" s="8">
        <v>1.2</v>
      </c>
      <c r="C69" s="8">
        <v>0.2</v>
      </c>
      <c r="D69" s="7">
        <f t="shared" si="3"/>
        <v>209.07</v>
      </c>
      <c r="E69" s="8">
        <v>8.7999999999999995E-2</v>
      </c>
      <c r="F69" s="8">
        <f>IF(E69="","",E69*'Multiplication factors'!$F$13)</f>
        <v>1.6360959999999998</v>
      </c>
      <c r="G69" s="7">
        <f t="shared" si="4"/>
        <v>3.66</v>
      </c>
      <c r="H69" s="8"/>
      <c r="I69" s="8">
        <v>2.5</v>
      </c>
      <c r="J69" s="7">
        <f t="shared" si="5"/>
        <v>28</v>
      </c>
    </row>
    <row r="70" spans="1:10" x14ac:dyDescent="0.35">
      <c r="A70" s="1">
        <v>68</v>
      </c>
      <c r="B70" s="8">
        <v>0.5</v>
      </c>
      <c r="C70" s="8">
        <v>0.2</v>
      </c>
      <c r="D70" s="7">
        <f t="shared" si="3"/>
        <v>62.72</v>
      </c>
      <c r="E70" s="8">
        <v>0.09</v>
      </c>
      <c r="F70" s="8">
        <f>IF(E70="","",E70*'Multiplication factors'!$F$13)</f>
        <v>1.6732799999999999</v>
      </c>
      <c r="G70" s="7">
        <f t="shared" si="4"/>
        <v>3.75</v>
      </c>
      <c r="H70" s="8"/>
      <c r="I70" s="8">
        <v>2.9</v>
      </c>
      <c r="J70" s="7">
        <f t="shared" si="5"/>
        <v>32.479999999999997</v>
      </c>
    </row>
    <row r="71" spans="1:10" x14ac:dyDescent="0.35">
      <c r="A71" s="1">
        <v>69</v>
      </c>
      <c r="B71" s="8">
        <v>1.2</v>
      </c>
      <c r="C71" s="8">
        <v>0.2</v>
      </c>
      <c r="D71" s="7">
        <f t="shared" si="3"/>
        <v>209.07</v>
      </c>
      <c r="E71" s="8">
        <v>0.09</v>
      </c>
      <c r="F71" s="8">
        <f>IF(E71="","",E71*'Multiplication factors'!$F$13)</f>
        <v>1.6732799999999999</v>
      </c>
      <c r="G71" s="7">
        <f t="shared" si="4"/>
        <v>3.75</v>
      </c>
      <c r="H71" s="8"/>
      <c r="I71" s="8">
        <v>3.6</v>
      </c>
      <c r="J71" s="7">
        <f t="shared" si="5"/>
        <v>40.32</v>
      </c>
    </row>
    <row r="72" spans="1:10" x14ac:dyDescent="0.35">
      <c r="A72" s="1">
        <v>70</v>
      </c>
      <c r="B72" s="8">
        <v>1.1000000000000001</v>
      </c>
      <c r="C72" s="8">
        <v>0.2</v>
      </c>
      <c r="D72" s="7">
        <f t="shared" si="3"/>
        <v>188.16</v>
      </c>
      <c r="E72" s="8">
        <v>7.5999999999999998E-2</v>
      </c>
      <c r="F72" s="8">
        <f>IF(E72="","",E72*'Multiplication factors'!$F$13)</f>
        <v>1.4129919999999998</v>
      </c>
      <c r="G72" s="7">
        <f t="shared" si="4"/>
        <v>3.17</v>
      </c>
      <c r="H72" s="8"/>
      <c r="I72" s="8">
        <v>4.0999999999999996</v>
      </c>
      <c r="J72" s="7">
        <f t="shared" si="5"/>
        <v>45.92</v>
      </c>
    </row>
    <row r="73" spans="1:10" x14ac:dyDescent="0.35">
      <c r="A73" s="1">
        <v>71</v>
      </c>
      <c r="B73" s="8">
        <v>1.2</v>
      </c>
      <c r="C73" s="8">
        <v>0.2</v>
      </c>
      <c r="D73" s="7">
        <f t="shared" si="3"/>
        <v>209.07</v>
      </c>
      <c r="E73" s="8">
        <v>0.08</v>
      </c>
      <c r="F73" s="8">
        <f>IF(E73="","",E73*'Multiplication factors'!$F$13)</f>
        <v>1.48736</v>
      </c>
      <c r="G73" s="7">
        <f t="shared" si="4"/>
        <v>3.33</v>
      </c>
      <c r="H73" s="8"/>
      <c r="I73" s="8">
        <v>3.3</v>
      </c>
      <c r="J73" s="7">
        <f t="shared" si="5"/>
        <v>36.96</v>
      </c>
    </row>
    <row r="74" spans="1:10" x14ac:dyDescent="0.35">
      <c r="A74" s="1">
        <v>72</v>
      </c>
      <c r="B74" s="8">
        <v>1.2</v>
      </c>
      <c r="C74" s="8">
        <v>0.2</v>
      </c>
      <c r="D74" s="7">
        <f t="shared" si="3"/>
        <v>209.07</v>
      </c>
      <c r="E74" s="8">
        <v>2.9000000000000001E-2</v>
      </c>
      <c r="F74" s="8">
        <f>IF(E74="","",E74*'Multiplication factors'!$F$13)</f>
        <v>0.53916799999999998</v>
      </c>
      <c r="G74" s="7">
        <f t="shared" si="4"/>
        <v>1.21</v>
      </c>
      <c r="H74" s="8"/>
      <c r="I74" s="8">
        <v>4.4000000000000004</v>
      </c>
      <c r="J74" s="7">
        <f t="shared" si="5"/>
        <v>49.28</v>
      </c>
    </row>
    <row r="75" spans="1:10" x14ac:dyDescent="0.35">
      <c r="A75" s="1">
        <v>73</v>
      </c>
      <c r="B75" s="8">
        <v>1.2</v>
      </c>
      <c r="C75" s="8">
        <v>0.2</v>
      </c>
      <c r="D75" s="7">
        <f t="shared" si="3"/>
        <v>209.07</v>
      </c>
      <c r="E75" s="8">
        <v>4.4999999999999998E-2</v>
      </c>
      <c r="F75" s="8">
        <f>IF(E75="","",E75*'Multiplication factors'!$F$13)</f>
        <v>0.83663999999999994</v>
      </c>
      <c r="G75" s="7">
        <f t="shared" si="4"/>
        <v>1.87</v>
      </c>
      <c r="H75" s="8"/>
      <c r="I75" s="8">
        <v>5.8</v>
      </c>
      <c r="J75" s="7">
        <f t="shared" si="5"/>
        <v>64.959999999999994</v>
      </c>
    </row>
    <row r="76" spans="1:10" x14ac:dyDescent="0.35">
      <c r="A76" s="1">
        <v>74</v>
      </c>
      <c r="B76" s="8">
        <v>1.2</v>
      </c>
      <c r="C76" s="8">
        <v>0.2</v>
      </c>
      <c r="D76" s="7">
        <f t="shared" si="3"/>
        <v>209.07</v>
      </c>
      <c r="E76" s="8">
        <v>8.4000000000000005E-2</v>
      </c>
      <c r="F76" s="8">
        <f>IF(E76="","",E76*'Multiplication factors'!$F$13)</f>
        <v>1.561728</v>
      </c>
      <c r="G76" s="7">
        <f t="shared" si="4"/>
        <v>3.5</v>
      </c>
      <c r="H76" s="8"/>
      <c r="I76" s="8">
        <v>2.9</v>
      </c>
      <c r="J76" s="7">
        <f t="shared" si="5"/>
        <v>32.479999999999997</v>
      </c>
    </row>
    <row r="77" spans="1:10" x14ac:dyDescent="0.35">
      <c r="A77" s="1">
        <v>75</v>
      </c>
      <c r="B77" s="8">
        <v>1.2</v>
      </c>
      <c r="C77" s="8">
        <v>0.2</v>
      </c>
      <c r="D77" s="7">
        <f t="shared" si="3"/>
        <v>209.07</v>
      </c>
      <c r="E77" s="8">
        <v>9.8000000000000004E-2</v>
      </c>
      <c r="F77" s="8">
        <f>IF(E77="","",E77*'Multiplication factors'!$F$13)</f>
        <v>1.8220159999999999</v>
      </c>
      <c r="G77" s="7">
        <f t="shared" si="4"/>
        <v>4.08</v>
      </c>
      <c r="H77" s="8"/>
      <c r="I77" s="8">
        <v>3.6</v>
      </c>
      <c r="J77" s="7">
        <f t="shared" si="5"/>
        <v>40.32</v>
      </c>
    </row>
    <row r="78" spans="1:10" x14ac:dyDescent="0.35">
      <c r="A78" s="1">
        <v>76</v>
      </c>
      <c r="B78" s="8">
        <v>1.2</v>
      </c>
      <c r="C78" s="8">
        <v>0.2</v>
      </c>
      <c r="D78" s="7">
        <f t="shared" si="3"/>
        <v>209.07</v>
      </c>
      <c r="E78" s="8">
        <v>8.5999999999999993E-2</v>
      </c>
      <c r="F78" s="8">
        <f>IF(E78="","",E78*'Multiplication factors'!$F$13)</f>
        <v>1.5989119999999997</v>
      </c>
      <c r="G78" s="7">
        <f t="shared" si="4"/>
        <v>3.58</v>
      </c>
      <c r="H78" s="8"/>
      <c r="I78" s="8">
        <v>2</v>
      </c>
      <c r="J78" s="7">
        <f t="shared" si="5"/>
        <v>22.4</v>
      </c>
    </row>
    <row r="79" spans="1:10" x14ac:dyDescent="0.35">
      <c r="A79" s="1">
        <v>77</v>
      </c>
      <c r="B79" s="8">
        <v>1.2</v>
      </c>
      <c r="C79" s="8">
        <v>0.2</v>
      </c>
      <c r="D79" s="7">
        <f t="shared" si="3"/>
        <v>209.07</v>
      </c>
      <c r="E79" s="8">
        <v>8.3000000000000004E-2</v>
      </c>
      <c r="F79" s="8">
        <f>IF(E79="","",E79*'Multiplication factors'!$F$13)</f>
        <v>1.5431360000000001</v>
      </c>
      <c r="G79" s="7">
        <f t="shared" si="4"/>
        <v>3.46</v>
      </c>
      <c r="H79" s="8"/>
      <c r="I79" s="8">
        <v>2.4</v>
      </c>
      <c r="J79" s="7">
        <f t="shared" si="5"/>
        <v>26.88</v>
      </c>
    </row>
    <row r="80" spans="1:10" x14ac:dyDescent="0.35">
      <c r="A80" s="1">
        <v>78</v>
      </c>
      <c r="B80" s="8">
        <v>1.2</v>
      </c>
      <c r="C80" s="8">
        <v>0.2</v>
      </c>
      <c r="D80" s="7">
        <f t="shared" si="3"/>
        <v>209.07</v>
      </c>
      <c r="E80" s="8">
        <v>7.4999999999999997E-2</v>
      </c>
      <c r="F80" s="8">
        <f>IF(E80="","",E80*'Multiplication factors'!$F$13)</f>
        <v>1.3943999999999999</v>
      </c>
      <c r="G80" s="7">
        <f t="shared" si="4"/>
        <v>3.12</v>
      </c>
      <c r="H80" s="8"/>
      <c r="I80" s="8">
        <v>3.7</v>
      </c>
      <c r="J80" s="7">
        <f t="shared" si="5"/>
        <v>41.44</v>
      </c>
    </row>
    <row r="81" spans="1:10" x14ac:dyDescent="0.35">
      <c r="A81" s="1">
        <v>79</v>
      </c>
      <c r="B81" s="8">
        <v>1.2</v>
      </c>
      <c r="C81" s="8">
        <v>0.2</v>
      </c>
      <c r="D81" s="7">
        <f t="shared" si="3"/>
        <v>209.07</v>
      </c>
      <c r="E81" s="8">
        <v>1.0999999999999999E-2</v>
      </c>
      <c r="F81" s="8">
        <f>IF(E81="","",E81*'Multiplication factors'!$F$13)</f>
        <v>0.20451199999999997</v>
      </c>
      <c r="G81" s="7">
        <f t="shared" si="4"/>
        <v>0.46</v>
      </c>
      <c r="H81" s="8"/>
      <c r="I81" s="8">
        <v>1.8</v>
      </c>
      <c r="J81" s="7">
        <f t="shared" si="5"/>
        <v>20.16</v>
      </c>
    </row>
    <row r="82" spans="1:10" x14ac:dyDescent="0.35">
      <c r="A82" s="1">
        <v>80</v>
      </c>
      <c r="B82" s="8">
        <v>1.2</v>
      </c>
      <c r="C82" s="8">
        <v>0.2</v>
      </c>
      <c r="D82" s="7">
        <f t="shared" si="3"/>
        <v>209.07</v>
      </c>
      <c r="E82" s="8">
        <v>8.5999999999999993E-2</v>
      </c>
      <c r="F82" s="8">
        <f>IF(E82="","",E82*'Multiplication factors'!$F$13)</f>
        <v>1.5989119999999997</v>
      </c>
      <c r="G82" s="7">
        <f t="shared" si="4"/>
        <v>3.58</v>
      </c>
      <c r="H82" s="8"/>
      <c r="I82" s="8">
        <v>3.5</v>
      </c>
      <c r="J82" s="7">
        <f t="shared" si="5"/>
        <v>39.200000000000003</v>
      </c>
    </row>
    <row r="83" spans="1:10" x14ac:dyDescent="0.35">
      <c r="A83" s="1">
        <v>81</v>
      </c>
      <c r="B83" s="8">
        <v>1.2</v>
      </c>
      <c r="C83" s="8">
        <v>0.2</v>
      </c>
      <c r="D83" s="7">
        <f t="shared" si="3"/>
        <v>209.07</v>
      </c>
      <c r="E83" s="8">
        <v>3.0000000000000001E-3</v>
      </c>
      <c r="F83" s="8">
        <f>IF(E83="","",E83*'Multiplication factors'!$F$13)</f>
        <v>5.5775999999999999E-2</v>
      </c>
      <c r="G83" s="7">
        <f t="shared" si="4"/>
        <v>0.12</v>
      </c>
      <c r="H83" s="8"/>
      <c r="I83" s="8">
        <v>2.6</v>
      </c>
      <c r="J83" s="7">
        <f t="shared" si="5"/>
        <v>29.12</v>
      </c>
    </row>
    <row r="84" spans="1:10" x14ac:dyDescent="0.35">
      <c r="A84" s="1">
        <v>82</v>
      </c>
      <c r="B84" s="8">
        <v>1.2</v>
      </c>
      <c r="C84" s="8">
        <v>0.2</v>
      </c>
      <c r="D84" s="7">
        <f t="shared" si="3"/>
        <v>209.07</v>
      </c>
      <c r="E84" s="8">
        <v>8.5000000000000006E-2</v>
      </c>
      <c r="F84" s="8">
        <f>IF(E84="","",E84*'Multiplication factors'!$F$13)</f>
        <v>1.5803199999999999</v>
      </c>
      <c r="G84" s="7">
        <f t="shared" si="4"/>
        <v>3.54</v>
      </c>
      <c r="H84" s="8"/>
      <c r="I84" s="8">
        <v>2.7</v>
      </c>
      <c r="J84" s="7">
        <f t="shared" si="5"/>
        <v>30.24</v>
      </c>
    </row>
    <row r="85" spans="1:10" x14ac:dyDescent="0.35">
      <c r="A85" s="1">
        <v>83</v>
      </c>
      <c r="B85" s="8">
        <v>1.2</v>
      </c>
      <c r="C85" s="8">
        <v>0.2</v>
      </c>
      <c r="D85" s="7">
        <f t="shared" si="3"/>
        <v>209.07</v>
      </c>
      <c r="E85" s="8">
        <v>1.6E-2</v>
      </c>
      <c r="F85" s="8">
        <f>IF(E85="","",E85*'Multiplication factors'!$F$13)</f>
        <v>0.29747199999999996</v>
      </c>
      <c r="G85" s="7">
        <f t="shared" si="4"/>
        <v>0.67</v>
      </c>
      <c r="H85" s="8"/>
      <c r="I85" s="8">
        <v>4.2</v>
      </c>
      <c r="J85" s="7">
        <f t="shared" si="5"/>
        <v>47.04</v>
      </c>
    </row>
    <row r="86" spans="1:10" x14ac:dyDescent="0.35">
      <c r="A86" s="1">
        <v>84</v>
      </c>
      <c r="B86" s="8">
        <v>1.3</v>
      </c>
      <c r="C86" s="8">
        <v>0.2</v>
      </c>
      <c r="D86" s="7">
        <f t="shared" si="3"/>
        <v>229.97</v>
      </c>
      <c r="E86" s="8">
        <v>8.6999999999999994E-2</v>
      </c>
      <c r="F86" s="8">
        <f>IF(E86="","",E86*'Multiplication factors'!$F$13)</f>
        <v>1.6175039999999998</v>
      </c>
      <c r="G86" s="7">
        <f t="shared" si="4"/>
        <v>3.62</v>
      </c>
      <c r="H86" s="8"/>
      <c r="I86" s="8">
        <v>4.5999999999999996</v>
      </c>
      <c r="J86" s="7">
        <f t="shared" si="5"/>
        <v>51.52</v>
      </c>
    </row>
    <row r="87" spans="1:10" x14ac:dyDescent="0.35">
      <c r="A87" s="1">
        <v>85</v>
      </c>
      <c r="B87" s="8">
        <v>1.1000000000000001</v>
      </c>
      <c r="C87" s="8">
        <v>0.2</v>
      </c>
      <c r="D87" s="7">
        <f t="shared" si="3"/>
        <v>188.16</v>
      </c>
      <c r="E87" s="8">
        <v>8.3000000000000004E-2</v>
      </c>
      <c r="F87" s="8">
        <f>IF(E87="","",E87*'Multiplication factors'!$F$13)</f>
        <v>1.5431360000000001</v>
      </c>
      <c r="G87" s="7">
        <f t="shared" si="4"/>
        <v>3.46</v>
      </c>
      <c r="H87" s="8"/>
      <c r="I87" s="8">
        <v>1.1000000000000001</v>
      </c>
      <c r="J87" s="7">
        <f t="shared" si="5"/>
        <v>12.32</v>
      </c>
    </row>
    <row r="88" spans="1:10" x14ac:dyDescent="0.35">
      <c r="A88" s="1">
        <v>86</v>
      </c>
      <c r="B88" s="8">
        <v>1</v>
      </c>
      <c r="C88" s="8">
        <v>0.2</v>
      </c>
      <c r="D88" s="7">
        <f t="shared" si="3"/>
        <v>167.25</v>
      </c>
      <c r="E88" s="8">
        <v>0.34200000000000003</v>
      </c>
      <c r="F88" s="8">
        <f>IF(E88="","",E88*'Multiplication factors'!$F$13)</f>
        <v>6.3584639999999997</v>
      </c>
      <c r="G88" s="7">
        <f t="shared" si="4"/>
        <v>14.24</v>
      </c>
      <c r="H88" s="8"/>
      <c r="I88" s="8">
        <v>1.8</v>
      </c>
      <c r="J88" s="7">
        <f t="shared" si="5"/>
        <v>20.16</v>
      </c>
    </row>
    <row r="89" spans="1:10" x14ac:dyDescent="0.35">
      <c r="A89" s="1">
        <v>87</v>
      </c>
      <c r="B89" s="8">
        <v>1.3</v>
      </c>
      <c r="C89" s="8">
        <v>0.2</v>
      </c>
      <c r="D89" s="7">
        <f t="shared" si="3"/>
        <v>229.97</v>
      </c>
      <c r="E89" s="8">
        <v>0.11600000000000001</v>
      </c>
      <c r="F89" s="8">
        <f>IF(E89="","",E89*'Multiplication factors'!$F$13)</f>
        <v>2.1566719999999999</v>
      </c>
      <c r="G89" s="7">
        <f t="shared" si="4"/>
        <v>4.83</v>
      </c>
      <c r="H89" s="8"/>
      <c r="I89" s="8">
        <v>2.8</v>
      </c>
      <c r="J89" s="7">
        <f t="shared" si="5"/>
        <v>31.36</v>
      </c>
    </row>
    <row r="90" spans="1:10" x14ac:dyDescent="0.35">
      <c r="A90" s="1">
        <v>88</v>
      </c>
      <c r="B90" s="8">
        <v>1.1000000000000001</v>
      </c>
      <c r="C90" s="8">
        <v>0.2</v>
      </c>
      <c r="D90" s="7">
        <f t="shared" si="3"/>
        <v>188.16</v>
      </c>
      <c r="E90" s="8">
        <v>8.6999999999999994E-2</v>
      </c>
      <c r="F90" s="8">
        <f>IF(E90="","",E90*'Multiplication factors'!$F$13)</f>
        <v>1.6175039999999998</v>
      </c>
      <c r="G90" s="7">
        <f t="shared" si="4"/>
        <v>3.62</v>
      </c>
      <c r="H90" s="8"/>
      <c r="I90" s="8">
        <v>2.2000000000000002</v>
      </c>
      <c r="J90" s="7">
        <f t="shared" si="5"/>
        <v>24.64</v>
      </c>
    </row>
    <row r="91" spans="1:10" x14ac:dyDescent="0.35">
      <c r="A91" s="1">
        <v>89</v>
      </c>
      <c r="B91" s="8">
        <v>1.1000000000000001</v>
      </c>
      <c r="C91" s="8">
        <v>0.2</v>
      </c>
      <c r="D91" s="7">
        <f t="shared" si="3"/>
        <v>188.16</v>
      </c>
      <c r="E91" s="8">
        <v>0.36299999999999999</v>
      </c>
      <c r="F91" s="8">
        <f>IF(E91="","",E91*'Multiplication factors'!$F$13)</f>
        <v>6.7488959999999993</v>
      </c>
      <c r="G91" s="7">
        <f t="shared" si="4"/>
        <v>15.12</v>
      </c>
      <c r="H91" s="8"/>
      <c r="I91" s="8">
        <v>3.4</v>
      </c>
      <c r="J91" s="7">
        <f t="shared" si="5"/>
        <v>38.08</v>
      </c>
    </row>
    <row r="92" spans="1:10" x14ac:dyDescent="0.35">
      <c r="A92" s="1">
        <v>90</v>
      </c>
      <c r="B92" s="8">
        <v>1.4</v>
      </c>
      <c r="C92" s="8">
        <v>0.2</v>
      </c>
      <c r="D92" s="7">
        <f t="shared" si="3"/>
        <v>250.88</v>
      </c>
      <c r="E92" s="8">
        <v>1.7999999999999999E-2</v>
      </c>
      <c r="F92" s="8">
        <f>IF(E92="","",E92*'Multiplication factors'!$F$13)</f>
        <v>0.33465599999999995</v>
      </c>
      <c r="G92" s="7">
        <f t="shared" si="4"/>
        <v>0.75</v>
      </c>
      <c r="H92" s="8"/>
      <c r="I92" s="8">
        <v>3.8</v>
      </c>
      <c r="J92" s="7">
        <f t="shared" si="5"/>
        <v>42.56</v>
      </c>
    </row>
    <row r="93" spans="1:10" x14ac:dyDescent="0.35">
      <c r="A93" s="1">
        <v>91</v>
      </c>
      <c r="B93" s="8">
        <v>1.4</v>
      </c>
      <c r="C93" s="8">
        <v>0.2</v>
      </c>
      <c r="D93" s="7">
        <f t="shared" si="3"/>
        <v>250.88</v>
      </c>
      <c r="E93" s="8">
        <v>3.2000000000000001E-2</v>
      </c>
      <c r="F93" s="8">
        <f>IF(E93="","",E93*'Multiplication factors'!$F$13)</f>
        <v>0.59494399999999992</v>
      </c>
      <c r="G93" s="7">
        <f t="shared" si="4"/>
        <v>1.33</v>
      </c>
      <c r="H93" s="8"/>
      <c r="I93" s="8">
        <v>4.9000000000000004</v>
      </c>
      <c r="J93" s="7">
        <f t="shared" si="5"/>
        <v>54.88</v>
      </c>
    </row>
    <row r="94" spans="1:10" x14ac:dyDescent="0.35">
      <c r="A94" s="1">
        <v>92</v>
      </c>
      <c r="B94" s="8">
        <v>1.4</v>
      </c>
      <c r="C94" s="8">
        <v>0.2</v>
      </c>
      <c r="D94" s="7">
        <f t="shared" si="3"/>
        <v>250.88</v>
      </c>
      <c r="E94" s="8">
        <v>0.14699999999999999</v>
      </c>
      <c r="F94" s="8">
        <f>IF(E94="","",E94*'Multiplication factors'!$F$13)</f>
        <v>2.7330239999999995</v>
      </c>
      <c r="G94" s="7">
        <f t="shared" si="4"/>
        <v>6.12</v>
      </c>
      <c r="H94" s="8"/>
      <c r="I94" s="8">
        <v>4.4000000000000004</v>
      </c>
      <c r="J94" s="7">
        <f t="shared" si="5"/>
        <v>49.28</v>
      </c>
    </row>
    <row r="95" spans="1:10" x14ac:dyDescent="0.35">
      <c r="A95" s="1">
        <v>93</v>
      </c>
      <c r="B95" s="8">
        <v>1.2</v>
      </c>
      <c r="C95" s="8">
        <v>0.2</v>
      </c>
      <c r="D95" s="7">
        <f t="shared" si="3"/>
        <v>209.07</v>
      </c>
      <c r="E95" s="8">
        <v>0.152</v>
      </c>
      <c r="F95" s="8">
        <f>IF(E95="","",E95*'Multiplication factors'!$F$13)</f>
        <v>2.8259839999999996</v>
      </c>
      <c r="G95" s="7">
        <f t="shared" si="4"/>
        <v>6.33</v>
      </c>
      <c r="H95" s="8"/>
      <c r="I95" s="8">
        <v>2.9</v>
      </c>
      <c r="J95" s="7">
        <f t="shared" si="5"/>
        <v>32.479999999999997</v>
      </c>
    </row>
    <row r="96" spans="1:10" x14ac:dyDescent="0.35">
      <c r="A96" s="1">
        <v>94</v>
      </c>
      <c r="B96" s="8">
        <v>1</v>
      </c>
      <c r="C96" s="8">
        <v>0.2</v>
      </c>
      <c r="D96" s="7">
        <f t="shared" si="3"/>
        <v>167.25</v>
      </c>
      <c r="E96" s="8">
        <v>0.126</v>
      </c>
      <c r="F96" s="8">
        <f>IF(E96="","",E96*'Multiplication factors'!$F$13)</f>
        <v>2.3425919999999998</v>
      </c>
      <c r="G96" s="7">
        <f t="shared" si="4"/>
        <v>5.25</v>
      </c>
      <c r="H96" s="8"/>
      <c r="I96" s="8">
        <v>3.5</v>
      </c>
      <c r="J96" s="7">
        <f t="shared" si="5"/>
        <v>39.200000000000003</v>
      </c>
    </row>
    <row r="97" spans="1:10" x14ac:dyDescent="0.35">
      <c r="A97" s="1">
        <v>95</v>
      </c>
      <c r="B97" s="8">
        <v>1</v>
      </c>
      <c r="C97" s="8">
        <v>0.2</v>
      </c>
      <c r="D97" s="7">
        <f t="shared" si="3"/>
        <v>167.25</v>
      </c>
      <c r="E97" s="8">
        <v>0.33500000000000002</v>
      </c>
      <c r="F97" s="8">
        <f>IF(E97="","",E97*'Multiplication factors'!$F$13)</f>
        <v>6.2283200000000001</v>
      </c>
      <c r="G97" s="7">
        <f t="shared" si="4"/>
        <v>13.95</v>
      </c>
      <c r="H97" s="8"/>
      <c r="I97" s="8">
        <v>3.7</v>
      </c>
      <c r="J97" s="7">
        <f t="shared" si="5"/>
        <v>41.44</v>
      </c>
    </row>
    <row r="98" spans="1:10" x14ac:dyDescent="0.35">
      <c r="A98" s="1">
        <v>96</v>
      </c>
      <c r="B98" s="8">
        <v>1</v>
      </c>
      <c r="C98" s="8">
        <v>0.2</v>
      </c>
      <c r="D98" s="7">
        <f t="shared" si="3"/>
        <v>167.25</v>
      </c>
      <c r="E98" s="8">
        <v>0.32600000000000001</v>
      </c>
      <c r="F98" s="8">
        <f>IF(E98="","",E98*'Multiplication factors'!$F$13)</f>
        <v>6.0609919999999997</v>
      </c>
      <c r="G98" s="7">
        <f t="shared" si="4"/>
        <v>13.58</v>
      </c>
      <c r="H98" s="8"/>
      <c r="I98" s="8">
        <v>1.9</v>
      </c>
      <c r="J98" s="7">
        <f t="shared" si="5"/>
        <v>21.28</v>
      </c>
    </row>
    <row r="99" spans="1:10" x14ac:dyDescent="0.35">
      <c r="A99" s="1">
        <v>97</v>
      </c>
      <c r="B99" s="8">
        <v>1.1000000000000001</v>
      </c>
      <c r="C99" s="8">
        <v>0.2</v>
      </c>
      <c r="D99" s="7">
        <f t="shared" si="3"/>
        <v>188.16</v>
      </c>
      <c r="E99" s="8">
        <v>0.39900000000000002</v>
      </c>
      <c r="F99" s="8">
        <f>IF(E99="","",E99*'Multiplication factors'!$F$13)</f>
        <v>7.4182079999999999</v>
      </c>
      <c r="G99" s="7">
        <f t="shared" si="4"/>
        <v>16.62</v>
      </c>
      <c r="H99" s="8"/>
      <c r="I99" s="8">
        <v>5.6</v>
      </c>
      <c r="J99" s="7">
        <f t="shared" si="5"/>
        <v>62.72</v>
      </c>
    </row>
    <row r="100" spans="1:10" x14ac:dyDescent="0.35">
      <c r="A100" s="1">
        <v>98</v>
      </c>
      <c r="B100" s="8">
        <v>1.2</v>
      </c>
      <c r="C100" s="8">
        <v>0.2</v>
      </c>
      <c r="D100" s="7">
        <f t="shared" si="3"/>
        <v>209.07</v>
      </c>
      <c r="E100" s="8">
        <v>9.5000000000000001E-2</v>
      </c>
      <c r="F100" s="8">
        <f>IF(E100="","",E100*'Multiplication factors'!$F$13)</f>
        <v>1.7662399999999998</v>
      </c>
      <c r="G100" s="7">
        <f t="shared" si="4"/>
        <v>3.96</v>
      </c>
      <c r="H100" s="8"/>
      <c r="I100" s="8">
        <v>4.0999999999999996</v>
      </c>
      <c r="J100" s="7">
        <f t="shared" si="5"/>
        <v>45.92</v>
      </c>
    </row>
    <row r="101" spans="1:10" x14ac:dyDescent="0.35">
      <c r="A101" s="1">
        <v>99</v>
      </c>
      <c r="B101" s="8">
        <v>1.2</v>
      </c>
      <c r="C101" s="8">
        <v>0.2</v>
      </c>
      <c r="D101" s="7">
        <f t="shared" si="3"/>
        <v>209.07</v>
      </c>
      <c r="E101" s="8">
        <v>0.106</v>
      </c>
      <c r="F101" s="8">
        <f>IF(E101="","",E101*'Multiplication factors'!$F$13)</f>
        <v>1.9707519999999998</v>
      </c>
      <c r="G101" s="7">
        <f t="shared" si="4"/>
        <v>4.41</v>
      </c>
      <c r="H101" s="8"/>
      <c r="I101" s="8">
        <v>5.3</v>
      </c>
      <c r="J101" s="7">
        <f t="shared" si="5"/>
        <v>59.36</v>
      </c>
    </row>
    <row r="102" spans="1:10" x14ac:dyDescent="0.35">
      <c r="A102" s="1">
        <v>100</v>
      </c>
      <c r="B102" s="8">
        <v>1.3</v>
      </c>
      <c r="C102" s="8">
        <v>0.2</v>
      </c>
      <c r="D102" s="7">
        <f t="shared" si="3"/>
        <v>229.97</v>
      </c>
      <c r="E102" s="8">
        <v>5.5E-2</v>
      </c>
      <c r="F102" s="8">
        <f>IF(E102="","",E102*'Multiplication factors'!$F$13)</f>
        <v>1.0225599999999999</v>
      </c>
      <c r="G102" s="7">
        <f t="shared" si="4"/>
        <v>2.29</v>
      </c>
      <c r="H102" s="8"/>
      <c r="I102" s="8">
        <v>2.2000000000000002</v>
      </c>
      <c r="J102" s="7">
        <f t="shared" si="5"/>
        <v>24.64</v>
      </c>
    </row>
    <row r="103" spans="1:10" x14ac:dyDescent="0.35">
      <c r="A103" s="1">
        <v>101</v>
      </c>
      <c r="B103" s="8">
        <v>1.3</v>
      </c>
      <c r="C103" s="8">
        <v>0.2</v>
      </c>
      <c r="D103" s="7">
        <f t="shared" si="3"/>
        <v>229.97</v>
      </c>
      <c r="E103" s="8">
        <v>9.8000000000000004E-2</v>
      </c>
      <c r="F103" s="8">
        <f>IF(E103="","",E103*'Multiplication factors'!$F$13)</f>
        <v>1.8220159999999999</v>
      </c>
      <c r="G103" s="7">
        <f t="shared" si="4"/>
        <v>4.08</v>
      </c>
      <c r="H103" s="8"/>
      <c r="I103" s="8">
        <v>3.3</v>
      </c>
      <c r="J103" s="7">
        <f t="shared" si="5"/>
        <v>36.96</v>
      </c>
    </row>
    <row r="104" spans="1:10" x14ac:dyDescent="0.35">
      <c r="A104" s="1">
        <v>102</v>
      </c>
      <c r="B104" s="8">
        <v>1.2</v>
      </c>
      <c r="C104" s="8">
        <v>0.2</v>
      </c>
      <c r="D104" s="7">
        <f t="shared" si="3"/>
        <v>209.07</v>
      </c>
      <c r="E104" s="8">
        <v>4.2999999999999997E-2</v>
      </c>
      <c r="F104" s="8">
        <f>IF(E104="","",E104*'Multiplication factors'!$F$13)</f>
        <v>0.79945599999999983</v>
      </c>
      <c r="G104" s="7">
        <f t="shared" si="4"/>
        <v>1.79</v>
      </c>
      <c r="H104" s="8"/>
      <c r="I104" s="8">
        <v>5.0999999999999996</v>
      </c>
      <c r="J104" s="7">
        <f t="shared" si="5"/>
        <v>57.12</v>
      </c>
    </row>
    <row r="105" spans="1:10" x14ac:dyDescent="0.35">
      <c r="A105" s="1">
        <v>103</v>
      </c>
      <c r="B105" s="8">
        <v>1.2</v>
      </c>
      <c r="C105" s="8">
        <v>0.2</v>
      </c>
      <c r="D105" s="7">
        <f t="shared" si="3"/>
        <v>209.07</v>
      </c>
      <c r="E105" s="8">
        <v>2.5000000000000001E-2</v>
      </c>
      <c r="F105" s="8">
        <f>IF(E105="","",E105*'Multiplication factors'!$F$13)</f>
        <v>0.46479999999999999</v>
      </c>
      <c r="G105" s="7">
        <f t="shared" si="4"/>
        <v>1.04</v>
      </c>
      <c r="H105" s="8"/>
      <c r="I105" s="8">
        <v>2.1</v>
      </c>
      <c r="J105" s="7">
        <f t="shared" si="5"/>
        <v>23.52</v>
      </c>
    </row>
    <row r="106" spans="1:10" x14ac:dyDescent="0.35">
      <c r="A106" s="1">
        <v>104</v>
      </c>
      <c r="B106" s="8">
        <v>1.1000000000000001</v>
      </c>
      <c r="C106" s="8">
        <v>0.2</v>
      </c>
      <c r="D106" s="7">
        <f t="shared" si="3"/>
        <v>188.16</v>
      </c>
      <c r="E106" s="8">
        <v>0.373</v>
      </c>
      <c r="F106" s="8">
        <f>IF(E106="","",E106*'Multiplication factors'!$F$13)</f>
        <v>6.9348159999999996</v>
      </c>
      <c r="G106" s="7">
        <f t="shared" si="4"/>
        <v>15.53</v>
      </c>
      <c r="H106" s="8"/>
      <c r="I106" s="8">
        <v>2.4</v>
      </c>
      <c r="J106" s="7">
        <f t="shared" si="5"/>
        <v>26.88</v>
      </c>
    </row>
    <row r="107" spans="1:10" x14ac:dyDescent="0.35">
      <c r="A107" s="1">
        <v>105</v>
      </c>
      <c r="B107" s="8">
        <v>1.3</v>
      </c>
      <c r="C107" s="8">
        <v>0.2</v>
      </c>
      <c r="D107" s="7">
        <f t="shared" si="3"/>
        <v>229.97</v>
      </c>
      <c r="E107" s="8">
        <v>0.45</v>
      </c>
      <c r="F107" s="8">
        <f>IF(E107="","",E107*'Multiplication factors'!$F$13)</f>
        <v>8.3664000000000005</v>
      </c>
      <c r="G107" s="7">
        <f t="shared" si="4"/>
        <v>18.739999999999998</v>
      </c>
      <c r="H107" s="8"/>
      <c r="I107" s="8">
        <v>4.2</v>
      </c>
      <c r="J107" s="7">
        <f t="shared" si="5"/>
        <v>47.04</v>
      </c>
    </row>
    <row r="108" spans="1:10" x14ac:dyDescent="0.35">
      <c r="A108" s="1">
        <v>106</v>
      </c>
      <c r="B108" s="8">
        <v>1.2</v>
      </c>
      <c r="C108" s="8">
        <v>0.2</v>
      </c>
      <c r="D108" s="7">
        <f t="shared" si="3"/>
        <v>209.07</v>
      </c>
      <c r="E108" s="8">
        <v>0.126</v>
      </c>
      <c r="F108" s="8">
        <f>IF(E108="","",E108*'Multiplication factors'!$F$13)</f>
        <v>2.3425919999999998</v>
      </c>
      <c r="G108" s="7">
        <f t="shared" si="4"/>
        <v>5.25</v>
      </c>
      <c r="H108" s="8"/>
      <c r="I108" s="8">
        <v>3.3</v>
      </c>
      <c r="J108" s="7">
        <f t="shared" si="5"/>
        <v>36.96</v>
      </c>
    </row>
    <row r="109" spans="1:10" x14ac:dyDescent="0.35">
      <c r="A109" s="1">
        <v>107</v>
      </c>
      <c r="B109" s="8">
        <v>1.1000000000000001</v>
      </c>
      <c r="C109" s="8">
        <v>0.2</v>
      </c>
      <c r="D109" s="7">
        <f t="shared" si="3"/>
        <v>188.16</v>
      </c>
      <c r="E109" s="8">
        <v>0.13500000000000001</v>
      </c>
      <c r="F109" s="8">
        <f>IF(E109="","",E109*'Multiplication factors'!$F$13)</f>
        <v>2.5099200000000002</v>
      </c>
      <c r="G109" s="7">
        <f t="shared" si="4"/>
        <v>5.62</v>
      </c>
      <c r="H109" s="8"/>
      <c r="I109" s="8">
        <v>3.4</v>
      </c>
      <c r="J109" s="7">
        <f t="shared" si="5"/>
        <v>38.08</v>
      </c>
    </row>
    <row r="110" spans="1:10" x14ac:dyDescent="0.35">
      <c r="A110" s="1">
        <v>108</v>
      </c>
      <c r="B110" s="8">
        <v>1.3</v>
      </c>
      <c r="C110" s="8">
        <v>0.2</v>
      </c>
      <c r="D110" s="7">
        <f t="shared" si="3"/>
        <v>229.97</v>
      </c>
      <c r="E110" s="8">
        <v>0.129</v>
      </c>
      <c r="F110" s="8">
        <f>IF(E110="","",E110*'Multiplication factors'!$F$13)</f>
        <v>2.3983680000000001</v>
      </c>
      <c r="G110" s="7">
        <f t="shared" si="4"/>
        <v>5.37</v>
      </c>
      <c r="H110" s="8"/>
      <c r="I110" s="8">
        <v>5.4</v>
      </c>
      <c r="J110" s="7">
        <f t="shared" si="5"/>
        <v>60.48</v>
      </c>
    </row>
    <row r="111" spans="1:10" x14ac:dyDescent="0.35">
      <c r="A111" s="1">
        <v>109</v>
      </c>
      <c r="B111" s="8">
        <v>1</v>
      </c>
      <c r="C111" s="8">
        <v>0.2</v>
      </c>
      <c r="D111" s="7">
        <f t="shared" si="3"/>
        <v>167.25</v>
      </c>
      <c r="E111" s="8">
        <v>0.40500000000000003</v>
      </c>
      <c r="F111" s="8">
        <f>IF(E111="","",E111*'Multiplication factors'!$F$13)</f>
        <v>7.5297599999999996</v>
      </c>
      <c r="G111" s="7">
        <f t="shared" si="4"/>
        <v>16.87</v>
      </c>
      <c r="H111" s="8"/>
      <c r="I111" s="8">
        <v>5.5</v>
      </c>
      <c r="J111" s="7">
        <f t="shared" si="5"/>
        <v>61.6</v>
      </c>
    </row>
    <row r="112" spans="1:10" x14ac:dyDescent="0.35">
      <c r="A112" s="1">
        <v>110</v>
      </c>
      <c r="B112" s="8">
        <v>1.3</v>
      </c>
      <c r="C112" s="8">
        <v>0.2</v>
      </c>
      <c r="D112" s="7">
        <f t="shared" si="3"/>
        <v>229.97</v>
      </c>
      <c r="E112" s="8">
        <v>0.104</v>
      </c>
      <c r="F112" s="8">
        <f>IF(E112="","",E112*'Multiplication factors'!$F$13)</f>
        <v>1.9335679999999997</v>
      </c>
      <c r="G112" s="7">
        <f t="shared" si="4"/>
        <v>4.33</v>
      </c>
      <c r="H112" s="8"/>
      <c r="I112" s="8">
        <v>4.5999999999999996</v>
      </c>
      <c r="J112" s="7">
        <f t="shared" si="5"/>
        <v>51.52</v>
      </c>
    </row>
    <row r="113" spans="1:10" x14ac:dyDescent="0.35">
      <c r="A113" s="1">
        <v>111</v>
      </c>
      <c r="B113" s="8">
        <v>1.3</v>
      </c>
      <c r="C113" s="8">
        <v>0.2</v>
      </c>
      <c r="D113" s="7">
        <f t="shared" si="3"/>
        <v>229.97</v>
      </c>
      <c r="E113" s="8">
        <v>9.6000000000000002E-2</v>
      </c>
      <c r="F113" s="8">
        <f>IF(E113="","",E113*'Multiplication factors'!$F$13)</f>
        <v>1.784832</v>
      </c>
      <c r="G113" s="7">
        <f t="shared" si="4"/>
        <v>4</v>
      </c>
      <c r="H113" s="8"/>
      <c r="I113" s="8">
        <v>3.8</v>
      </c>
      <c r="J113" s="7">
        <f t="shared" si="5"/>
        <v>42.56</v>
      </c>
    </row>
    <row r="114" spans="1:10" x14ac:dyDescent="0.35">
      <c r="A114" s="1">
        <v>112</v>
      </c>
      <c r="B114" s="8">
        <v>1.2</v>
      </c>
      <c r="C114" s="8">
        <v>0.2</v>
      </c>
      <c r="D114" s="7">
        <f t="shared" si="3"/>
        <v>209.07</v>
      </c>
      <c r="E114" s="8">
        <v>8.5999999999999993E-2</v>
      </c>
      <c r="F114" s="8">
        <f>IF(E114="","",E114*'Multiplication factors'!$F$13)</f>
        <v>1.5989119999999997</v>
      </c>
      <c r="G114" s="7">
        <f t="shared" si="4"/>
        <v>3.58</v>
      </c>
      <c r="H114" s="8"/>
      <c r="I114" s="8">
        <v>6.2</v>
      </c>
      <c r="J114" s="7">
        <f t="shared" si="5"/>
        <v>69.44</v>
      </c>
    </row>
    <row r="115" spans="1:10" x14ac:dyDescent="0.35">
      <c r="A115" s="1">
        <v>113</v>
      </c>
      <c r="B115" s="8">
        <v>0.9</v>
      </c>
      <c r="C115" s="8">
        <v>0.2</v>
      </c>
      <c r="D115" s="7">
        <f t="shared" si="3"/>
        <v>146.35</v>
      </c>
      <c r="E115" s="8">
        <v>0.14000000000000001</v>
      </c>
      <c r="F115" s="8">
        <f>IF(E115="","",E115*'Multiplication factors'!$F$13)</f>
        <v>2.6028799999999999</v>
      </c>
      <c r="G115" s="7">
        <f t="shared" si="4"/>
        <v>5.83</v>
      </c>
      <c r="H115" s="8"/>
      <c r="I115" s="8">
        <v>1.9</v>
      </c>
      <c r="J115" s="7">
        <f t="shared" si="5"/>
        <v>21.28</v>
      </c>
    </row>
    <row r="116" spans="1:10" x14ac:dyDescent="0.35">
      <c r="A116" s="1">
        <v>114</v>
      </c>
      <c r="B116" s="8">
        <v>1.3</v>
      </c>
      <c r="C116" s="8">
        <v>0.2</v>
      </c>
      <c r="D116" s="7">
        <f t="shared" si="3"/>
        <v>229.97</v>
      </c>
      <c r="E116" s="8">
        <v>8.4000000000000005E-2</v>
      </c>
      <c r="F116" s="8">
        <f>IF(E116="","",E116*'Multiplication factors'!$F$13)</f>
        <v>1.561728</v>
      </c>
      <c r="G116" s="7">
        <f t="shared" si="4"/>
        <v>3.5</v>
      </c>
      <c r="H116" s="8"/>
      <c r="I116" s="8">
        <v>2.9</v>
      </c>
      <c r="J116" s="7">
        <f t="shared" si="5"/>
        <v>32.479999999999997</v>
      </c>
    </row>
    <row r="117" spans="1:10" x14ac:dyDescent="0.35">
      <c r="A117" s="1">
        <v>115</v>
      </c>
      <c r="B117" s="8">
        <v>1.2</v>
      </c>
      <c r="C117" s="8">
        <v>0.2</v>
      </c>
      <c r="D117" s="7">
        <f t="shared" si="3"/>
        <v>209.07</v>
      </c>
      <c r="E117" s="8">
        <v>9.7000000000000003E-2</v>
      </c>
      <c r="F117" s="8">
        <f>IF(E117="","",E117*'Multiplication factors'!$F$13)</f>
        <v>1.8034239999999999</v>
      </c>
      <c r="G117" s="7">
        <f t="shared" si="4"/>
        <v>4.04</v>
      </c>
      <c r="H117" s="8"/>
      <c r="I117" s="8">
        <v>3.2</v>
      </c>
      <c r="J117" s="7">
        <f t="shared" si="5"/>
        <v>35.840000000000003</v>
      </c>
    </row>
    <row r="118" spans="1:10" x14ac:dyDescent="0.35">
      <c r="A118" s="1">
        <v>116</v>
      </c>
      <c r="B118" s="8">
        <v>1.2</v>
      </c>
      <c r="C118" s="8">
        <v>0.2</v>
      </c>
      <c r="D118" s="7">
        <f t="shared" si="3"/>
        <v>209.07</v>
      </c>
      <c r="E118" s="8">
        <v>0.123</v>
      </c>
      <c r="F118" s="8">
        <f>IF(E118="","",E118*'Multiplication factors'!$F$13)</f>
        <v>2.286816</v>
      </c>
      <c r="G118" s="7">
        <f t="shared" si="4"/>
        <v>5.12</v>
      </c>
      <c r="H118" s="8"/>
      <c r="I118" s="8">
        <v>3.9</v>
      </c>
      <c r="J118" s="7">
        <f t="shared" si="5"/>
        <v>43.68</v>
      </c>
    </row>
    <row r="119" spans="1:10" x14ac:dyDescent="0.35">
      <c r="A119" s="1">
        <v>117</v>
      </c>
      <c r="B119" s="8">
        <v>1.1000000000000001</v>
      </c>
      <c r="C119" s="8">
        <v>0.2</v>
      </c>
      <c r="D119" s="7">
        <f t="shared" si="3"/>
        <v>188.16</v>
      </c>
      <c r="E119" s="8">
        <v>0.124</v>
      </c>
      <c r="F119" s="8">
        <f>IF(E119="","",E119*'Multiplication factors'!$F$13)</f>
        <v>2.3054079999999999</v>
      </c>
      <c r="G119" s="7">
        <f t="shared" si="4"/>
        <v>5.16</v>
      </c>
      <c r="H119" s="8"/>
      <c r="I119" s="8">
        <v>4.4000000000000004</v>
      </c>
      <c r="J119" s="7">
        <f t="shared" si="5"/>
        <v>49.28</v>
      </c>
    </row>
    <row r="120" spans="1:10" x14ac:dyDescent="0.35">
      <c r="A120" s="1">
        <v>118</v>
      </c>
      <c r="B120" s="8">
        <v>1.3</v>
      </c>
      <c r="C120" s="8">
        <v>0.2</v>
      </c>
      <c r="D120" s="7">
        <f t="shared" si="3"/>
        <v>229.97</v>
      </c>
      <c r="E120" s="8">
        <v>0.14699999999999999</v>
      </c>
      <c r="F120" s="8">
        <f>IF(E120="","",E120*'Multiplication factors'!$F$13)</f>
        <v>2.7330239999999995</v>
      </c>
      <c r="G120" s="7">
        <f t="shared" si="4"/>
        <v>6.12</v>
      </c>
      <c r="H120" s="8"/>
      <c r="I120" s="8">
        <v>2.7</v>
      </c>
      <c r="J120" s="7">
        <f t="shared" si="5"/>
        <v>30.24</v>
      </c>
    </row>
    <row r="121" spans="1:10" x14ac:dyDescent="0.35">
      <c r="A121" s="1">
        <v>119</v>
      </c>
      <c r="B121" s="8">
        <v>1.3</v>
      </c>
      <c r="C121" s="8">
        <v>0.2</v>
      </c>
      <c r="D121" s="7">
        <f t="shared" si="3"/>
        <v>229.97</v>
      </c>
      <c r="E121" s="8">
        <v>0.111</v>
      </c>
      <c r="F121" s="8">
        <f>IF(E121="","",E121*'Multiplication factors'!$F$13)</f>
        <v>2.0637119999999998</v>
      </c>
      <c r="G121" s="7">
        <f t="shared" si="4"/>
        <v>4.62</v>
      </c>
      <c r="H121" s="8"/>
      <c r="I121" s="8">
        <v>3.1</v>
      </c>
      <c r="J121" s="7">
        <f t="shared" si="5"/>
        <v>34.72</v>
      </c>
    </row>
    <row r="122" spans="1:10" x14ac:dyDescent="0.35">
      <c r="A122" s="1">
        <v>120</v>
      </c>
      <c r="B122" s="8">
        <v>1.2</v>
      </c>
      <c r="C122" s="8">
        <v>0.2</v>
      </c>
      <c r="D122" s="7">
        <f t="shared" si="3"/>
        <v>209.07</v>
      </c>
      <c r="E122" s="8">
        <v>0.124</v>
      </c>
      <c r="F122" s="8">
        <f>IF(E122="","",E122*'Multiplication factors'!$F$13)</f>
        <v>2.3054079999999999</v>
      </c>
      <c r="G122" s="7">
        <f t="shared" si="4"/>
        <v>5.16</v>
      </c>
      <c r="H122" s="8"/>
      <c r="I122" s="8">
        <v>3.9</v>
      </c>
      <c r="J122" s="7">
        <f t="shared" si="5"/>
        <v>43.68</v>
      </c>
    </row>
    <row r="123" spans="1:10" x14ac:dyDescent="0.35">
      <c r="A123" s="1">
        <v>121</v>
      </c>
      <c r="B123" s="8">
        <v>1.2</v>
      </c>
      <c r="C123" s="8">
        <v>0.2</v>
      </c>
      <c r="D123" s="7">
        <f t="shared" si="3"/>
        <v>209.07</v>
      </c>
      <c r="E123" s="8">
        <v>0.13200000000000001</v>
      </c>
      <c r="F123" s="8">
        <f>IF(E123="","",E123*'Multiplication factors'!$F$13)</f>
        <v>2.4541439999999999</v>
      </c>
      <c r="G123" s="7">
        <f t="shared" si="4"/>
        <v>5.5</v>
      </c>
      <c r="H123" s="8"/>
      <c r="I123" s="8">
        <v>4</v>
      </c>
      <c r="J123" s="7">
        <f t="shared" si="5"/>
        <v>44.8</v>
      </c>
    </row>
    <row r="124" spans="1:10" x14ac:dyDescent="0.35">
      <c r="A124" s="1">
        <v>122</v>
      </c>
      <c r="B124" s="8">
        <v>1.3</v>
      </c>
      <c r="C124" s="8">
        <v>0.2</v>
      </c>
      <c r="D124" s="7">
        <f t="shared" si="3"/>
        <v>229.97</v>
      </c>
      <c r="E124" s="8">
        <v>0.11899999999999999</v>
      </c>
      <c r="F124" s="8">
        <f>IF(E124="","",E124*'Multiplication factors'!$F$13)</f>
        <v>2.2124479999999997</v>
      </c>
      <c r="G124" s="7">
        <f t="shared" si="4"/>
        <v>4.96</v>
      </c>
      <c r="H124" s="8"/>
      <c r="I124" s="8">
        <v>4.0999999999999996</v>
      </c>
      <c r="J124" s="7">
        <f t="shared" si="5"/>
        <v>45.92</v>
      </c>
    </row>
    <row r="125" spans="1:10" x14ac:dyDescent="0.35">
      <c r="A125" s="1">
        <v>123</v>
      </c>
      <c r="B125" s="8">
        <v>0.9</v>
      </c>
      <c r="C125" s="8">
        <v>0.2</v>
      </c>
      <c r="D125" s="7">
        <f t="shared" si="3"/>
        <v>146.35</v>
      </c>
      <c r="E125" s="8">
        <v>0.28199999999999997</v>
      </c>
      <c r="F125" s="8">
        <f>IF(E125="","",E125*'Multiplication factors'!$F$13)</f>
        <v>5.2429439999999987</v>
      </c>
      <c r="G125" s="7">
        <f t="shared" si="4"/>
        <v>11.74</v>
      </c>
      <c r="H125" s="8"/>
      <c r="I125" s="8">
        <v>3.6</v>
      </c>
      <c r="J125" s="7">
        <f t="shared" si="5"/>
        <v>40.32</v>
      </c>
    </row>
    <row r="126" spans="1:10" x14ac:dyDescent="0.35">
      <c r="A126" s="1">
        <v>124</v>
      </c>
      <c r="B126" s="8">
        <v>1.3</v>
      </c>
      <c r="C126" s="8">
        <v>0.2</v>
      </c>
      <c r="D126" s="7">
        <f t="shared" si="3"/>
        <v>229.97</v>
      </c>
      <c r="E126" s="8">
        <v>0.13300000000000001</v>
      </c>
      <c r="F126" s="8">
        <f>IF(E126="","",E126*'Multiplication factors'!$F$13)</f>
        <v>2.4727359999999998</v>
      </c>
      <c r="G126" s="7">
        <f t="shared" si="4"/>
        <v>5.54</v>
      </c>
      <c r="H126" s="8"/>
      <c r="I126" s="8">
        <v>3.4</v>
      </c>
      <c r="J126" s="7">
        <f t="shared" si="5"/>
        <v>38.08</v>
      </c>
    </row>
    <row r="127" spans="1:10" x14ac:dyDescent="0.35">
      <c r="A127" s="1">
        <v>125</v>
      </c>
      <c r="B127" s="8">
        <v>1.2</v>
      </c>
      <c r="C127" s="8">
        <v>0.2</v>
      </c>
      <c r="D127" s="7">
        <f t="shared" si="3"/>
        <v>209.07</v>
      </c>
      <c r="E127" s="8">
        <v>0.34200000000000003</v>
      </c>
      <c r="F127" s="8">
        <f>IF(E127="","",E127*'Multiplication factors'!$F$13)</f>
        <v>6.3584639999999997</v>
      </c>
      <c r="G127" s="7">
        <f t="shared" si="4"/>
        <v>14.24</v>
      </c>
      <c r="H127" s="8"/>
      <c r="I127" s="8">
        <v>3.5</v>
      </c>
      <c r="J127" s="7">
        <f t="shared" si="5"/>
        <v>39.200000000000003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7"/>
  <sheetViews>
    <sheetView topLeftCell="A73" workbookViewId="0">
      <selection activeCell="H3" sqref="H3:H127"/>
    </sheetView>
  </sheetViews>
  <sheetFormatPr defaultRowHeight="14.5" x14ac:dyDescent="0.35"/>
  <cols>
    <col min="2" max="10" width="15.7265625" customWidth="1"/>
  </cols>
  <sheetData>
    <row r="1" spans="1:10" ht="32.25" customHeight="1" x14ac:dyDescent="0.35">
      <c r="B1" s="19" t="s">
        <v>18</v>
      </c>
      <c r="C1" s="19"/>
      <c r="D1" s="19"/>
      <c r="E1" s="19" t="s">
        <v>19</v>
      </c>
      <c r="F1" s="19"/>
      <c r="G1" s="19"/>
      <c r="H1" s="19" t="s">
        <v>21</v>
      </c>
      <c r="I1" s="19"/>
      <c r="J1" s="19"/>
    </row>
    <row r="2" spans="1:10" ht="29" x14ac:dyDescent="0.35">
      <c r="A2" s="6" t="s">
        <v>2</v>
      </c>
      <c r="B2" s="10" t="s">
        <v>11</v>
      </c>
      <c r="C2" s="10" t="s">
        <v>23</v>
      </c>
      <c r="D2" s="9" t="s">
        <v>24</v>
      </c>
      <c r="E2" s="10" t="s">
        <v>11</v>
      </c>
      <c r="F2" s="10" t="s">
        <v>12</v>
      </c>
      <c r="G2" s="9" t="s">
        <v>20</v>
      </c>
      <c r="H2" s="10" t="s">
        <v>11</v>
      </c>
      <c r="I2" s="10" t="s">
        <v>12</v>
      </c>
      <c r="J2" s="9" t="s">
        <v>22</v>
      </c>
    </row>
    <row r="3" spans="1:10" x14ac:dyDescent="0.35">
      <c r="A3" s="1">
        <v>1</v>
      </c>
      <c r="B3" s="8">
        <v>3.5999999999999997E-2</v>
      </c>
      <c r="C3" s="8">
        <f>ROUNDUP(B3*'Multiplication factors'!$M$14,2)</f>
        <v>0.01</v>
      </c>
      <c r="D3" s="7">
        <f>IF(B3="","",C3*10)</f>
        <v>0.1</v>
      </c>
      <c r="E3" s="8">
        <v>0.47</v>
      </c>
      <c r="F3" s="8">
        <f>ROUND(E3*'Multiplication factors'!$Q$14,2)</f>
        <v>1.01</v>
      </c>
      <c r="G3" s="7">
        <f>ROUND(F3*2.5,2)</f>
        <v>2.5299999999999998</v>
      </c>
      <c r="H3" s="8">
        <v>1.7999999999999999E-2</v>
      </c>
      <c r="I3" s="8">
        <f>ROUND(H3*'Multiplication factors'!$U$14,2)</f>
        <v>0.78</v>
      </c>
      <c r="J3" s="7">
        <f>ROUND(I3*12.5,2)</f>
        <v>9.75</v>
      </c>
    </row>
    <row r="4" spans="1:10" x14ac:dyDescent="0.35">
      <c r="A4" s="1">
        <v>2</v>
      </c>
      <c r="B4" s="8">
        <v>2.8000000000000001E-2</v>
      </c>
      <c r="C4" s="8">
        <f>ROUNDUP(B4*'Multiplication factors'!$M$14,2)</f>
        <v>0.01</v>
      </c>
      <c r="D4" s="7">
        <f t="shared" ref="D4:D67" si="0">IF(B4="","",C4*10)</f>
        <v>0.1</v>
      </c>
      <c r="E4" s="8">
        <v>0.16800000000000001</v>
      </c>
      <c r="F4" s="8">
        <f>ROUND(E4*'Multiplication factors'!$Q$14,2)</f>
        <v>0.36</v>
      </c>
      <c r="G4" s="7">
        <f t="shared" ref="G4:G67" si="1">ROUND(F4*2.5,2)</f>
        <v>0.9</v>
      </c>
      <c r="H4" s="8">
        <v>2.9000000000000001E-2</v>
      </c>
      <c r="I4" s="8">
        <f>ROUND(H4*'Multiplication factors'!$U$14,2)</f>
        <v>1.25</v>
      </c>
      <c r="J4" s="7">
        <f t="shared" ref="J4:J67" si="2">ROUND(I4*12.5,2)</f>
        <v>15.63</v>
      </c>
    </row>
    <row r="5" spans="1:10" x14ac:dyDescent="0.35">
      <c r="A5" s="1">
        <v>3</v>
      </c>
      <c r="B5" s="8">
        <v>2.8000000000000001E-2</v>
      </c>
      <c r="C5" s="8">
        <f>ROUNDUP(B5*'Multiplication factors'!$M$14,2)</f>
        <v>0.01</v>
      </c>
      <c r="D5" s="7">
        <f t="shared" si="0"/>
        <v>0.1</v>
      </c>
      <c r="E5" s="8">
        <v>0.67200000000000004</v>
      </c>
      <c r="F5" s="8">
        <f>ROUND(E5*'Multiplication factors'!$Q$14,2)</f>
        <v>1.44</v>
      </c>
      <c r="G5" s="7">
        <f t="shared" si="1"/>
        <v>3.6</v>
      </c>
      <c r="H5" s="8">
        <v>2.4E-2</v>
      </c>
      <c r="I5" s="8">
        <f>ROUND(H5*'Multiplication factors'!$U$14,2)</f>
        <v>1.04</v>
      </c>
      <c r="J5" s="7">
        <f t="shared" si="2"/>
        <v>13</v>
      </c>
    </row>
    <row r="6" spans="1:10" x14ac:dyDescent="0.35">
      <c r="A6" s="1">
        <v>4</v>
      </c>
      <c r="B6" s="8">
        <v>1.2999999999999999E-2</v>
      </c>
      <c r="C6" s="8">
        <f>ROUNDUP(B6*'Multiplication factors'!$M$14,2)</f>
        <v>0.01</v>
      </c>
      <c r="D6" s="7">
        <f t="shared" si="0"/>
        <v>0.1</v>
      </c>
      <c r="E6" s="8">
        <v>0.24099999999999999</v>
      </c>
      <c r="F6" s="8">
        <f>ROUND(E6*'Multiplication factors'!$Q$14,2)</f>
        <v>0.52</v>
      </c>
      <c r="G6" s="7">
        <f t="shared" si="1"/>
        <v>1.3</v>
      </c>
      <c r="H6" s="8">
        <v>1.4E-2</v>
      </c>
      <c r="I6" s="8">
        <f>ROUND(H6*'Multiplication factors'!$U$14,2)</f>
        <v>0.61</v>
      </c>
      <c r="J6" s="7">
        <f t="shared" si="2"/>
        <v>7.63</v>
      </c>
    </row>
    <row r="7" spans="1:10" x14ac:dyDescent="0.35">
      <c r="A7" s="1">
        <v>5</v>
      </c>
      <c r="B7" s="8">
        <v>0.08</v>
      </c>
      <c r="C7" s="8">
        <f>ROUNDUP(B7*'Multiplication factors'!$M$14,2)</f>
        <v>0.01</v>
      </c>
      <c r="D7" s="7">
        <f t="shared" si="0"/>
        <v>0.1</v>
      </c>
      <c r="E7" s="8">
        <v>6.4000000000000001E-2</v>
      </c>
      <c r="F7" s="8">
        <f>ROUND(E7*'Multiplication factors'!$Q$14,2)</f>
        <v>0.14000000000000001</v>
      </c>
      <c r="G7" s="7">
        <f t="shared" si="1"/>
        <v>0.35</v>
      </c>
      <c r="H7" s="8">
        <v>1.7999999999999999E-2</v>
      </c>
      <c r="I7" s="8">
        <f>ROUND(H7*'Multiplication factors'!$U$14,2)</f>
        <v>0.78</v>
      </c>
      <c r="J7" s="7">
        <f t="shared" si="2"/>
        <v>9.75</v>
      </c>
    </row>
    <row r="8" spans="1:10" x14ac:dyDescent="0.35">
      <c r="A8" s="1">
        <v>6</v>
      </c>
      <c r="B8" s="8">
        <v>6.5000000000000002E-2</v>
      </c>
      <c r="C8" s="8">
        <f>ROUNDUP(B8*'Multiplication factors'!$M$14,2)</f>
        <v>0.01</v>
      </c>
      <c r="D8" s="7">
        <f t="shared" si="0"/>
        <v>0.1</v>
      </c>
      <c r="E8" s="8">
        <v>0.27800000000000002</v>
      </c>
      <c r="F8" s="8">
        <f>ROUND(E8*'Multiplication factors'!$Q$14,2)</f>
        <v>0.59</v>
      </c>
      <c r="G8" s="7">
        <f t="shared" si="1"/>
        <v>1.48</v>
      </c>
      <c r="H8" s="8">
        <v>1.4999999999999999E-2</v>
      </c>
      <c r="I8" s="8">
        <f>ROUND(H8*'Multiplication factors'!$U$14,2)</f>
        <v>0.65</v>
      </c>
      <c r="J8" s="7">
        <f t="shared" si="2"/>
        <v>8.1300000000000008</v>
      </c>
    </row>
    <row r="9" spans="1:10" x14ac:dyDescent="0.35">
      <c r="A9" s="1">
        <v>7</v>
      </c>
      <c r="B9" s="8">
        <v>2.8000000000000001E-2</v>
      </c>
      <c r="C9" s="8">
        <f>ROUNDUP(B9*'Multiplication factors'!$M$14,2)</f>
        <v>0.01</v>
      </c>
      <c r="D9" s="7">
        <f t="shared" si="0"/>
        <v>0.1</v>
      </c>
      <c r="E9" s="8">
        <v>0.27900000000000003</v>
      </c>
      <c r="F9" s="8">
        <f>ROUND(E9*'Multiplication factors'!$Q$14,2)</f>
        <v>0.6</v>
      </c>
      <c r="G9" s="7">
        <f t="shared" si="1"/>
        <v>1.5</v>
      </c>
      <c r="H9" s="8">
        <v>8.0000000000000002E-3</v>
      </c>
      <c r="I9" s="8">
        <f>ROUND(H9*'Multiplication factors'!$U$14,2)</f>
        <v>0.35</v>
      </c>
      <c r="J9" s="7">
        <f t="shared" si="2"/>
        <v>4.38</v>
      </c>
    </row>
    <row r="10" spans="1:10" x14ac:dyDescent="0.35">
      <c r="A10" s="1">
        <v>8</v>
      </c>
      <c r="B10" s="8">
        <v>2.8000000000000001E-2</v>
      </c>
      <c r="C10" s="8">
        <f>ROUNDUP(B10*'Multiplication factors'!$M$14,2)</f>
        <v>0.01</v>
      </c>
      <c r="D10" s="7">
        <f t="shared" si="0"/>
        <v>0.1</v>
      </c>
      <c r="E10" s="8">
        <v>0.28699999999999998</v>
      </c>
      <c r="F10" s="8">
        <f>ROUND(E10*'Multiplication factors'!$Q$14,2)</f>
        <v>0.61</v>
      </c>
      <c r="G10" s="7">
        <f t="shared" si="1"/>
        <v>1.53</v>
      </c>
      <c r="H10" s="8">
        <v>1.4E-2</v>
      </c>
      <c r="I10" s="8">
        <f>ROUND(H10*'Multiplication factors'!$U$14,2)</f>
        <v>0.61</v>
      </c>
      <c r="J10" s="7">
        <f t="shared" si="2"/>
        <v>7.63</v>
      </c>
    </row>
    <row r="11" spans="1:10" x14ac:dyDescent="0.35">
      <c r="A11" s="1">
        <v>9</v>
      </c>
      <c r="B11" s="8">
        <v>6.0000000000000001E-3</v>
      </c>
      <c r="C11" s="8">
        <f>ROUNDUP(B11*'Multiplication factors'!$M$14,2)</f>
        <v>0.01</v>
      </c>
      <c r="D11" s="7">
        <f t="shared" si="0"/>
        <v>0.1</v>
      </c>
      <c r="E11" s="8">
        <v>0.26300000000000001</v>
      </c>
      <c r="F11" s="8">
        <f>ROUND(E11*'Multiplication factors'!$Q$14,2)</f>
        <v>0.56000000000000005</v>
      </c>
      <c r="G11" s="7">
        <f t="shared" si="1"/>
        <v>1.4</v>
      </c>
      <c r="H11" s="8">
        <v>8.9999999999999993E-3</v>
      </c>
      <c r="I11" s="8">
        <f>ROUND(H11*'Multiplication factors'!$U$14,2)</f>
        <v>0.39</v>
      </c>
      <c r="J11" s="7">
        <f t="shared" si="2"/>
        <v>4.88</v>
      </c>
    </row>
    <row r="12" spans="1:10" x14ac:dyDescent="0.35">
      <c r="A12" s="1">
        <v>10</v>
      </c>
      <c r="B12" s="8">
        <v>2.1000000000000001E-2</v>
      </c>
      <c r="C12" s="8">
        <f>ROUNDUP(B12*'Multiplication factors'!$M$14,2)</f>
        <v>0.01</v>
      </c>
      <c r="D12" s="7">
        <f t="shared" si="0"/>
        <v>0.1</v>
      </c>
      <c r="E12" s="8">
        <v>0.69099999999999995</v>
      </c>
      <c r="F12" s="8">
        <f>ROUND(E12*'Multiplication factors'!$Q$14,2)</f>
        <v>1.48</v>
      </c>
      <c r="G12" s="7">
        <f t="shared" si="1"/>
        <v>3.7</v>
      </c>
      <c r="H12" s="8">
        <v>1.2E-2</v>
      </c>
      <c r="I12" s="8">
        <f>ROUND(H12*'Multiplication factors'!$U$14,2)</f>
        <v>0.52</v>
      </c>
      <c r="J12" s="7">
        <f t="shared" si="2"/>
        <v>6.5</v>
      </c>
    </row>
    <row r="13" spans="1:10" x14ac:dyDescent="0.35">
      <c r="A13" s="1">
        <v>11</v>
      </c>
      <c r="B13" s="8">
        <v>3.1E-2</v>
      </c>
      <c r="C13" s="8">
        <f>ROUNDUP(B13*'Multiplication factors'!$M$14,2)</f>
        <v>0.01</v>
      </c>
      <c r="D13" s="7">
        <f t="shared" si="0"/>
        <v>0.1</v>
      </c>
      <c r="E13" s="8">
        <v>4.7E-2</v>
      </c>
      <c r="F13" s="8">
        <f>ROUND(E13*'Multiplication factors'!$Q$14,2)</f>
        <v>0.1</v>
      </c>
      <c r="G13" s="7">
        <f t="shared" si="1"/>
        <v>0.25</v>
      </c>
      <c r="H13" s="8">
        <v>2.3E-2</v>
      </c>
      <c r="I13" s="8">
        <f>ROUND(H13*'Multiplication factors'!$U$14,2)</f>
        <v>0.99</v>
      </c>
      <c r="J13" s="7">
        <f t="shared" si="2"/>
        <v>12.38</v>
      </c>
    </row>
    <row r="14" spans="1:10" x14ac:dyDescent="0.35">
      <c r="A14" s="1">
        <v>12</v>
      </c>
      <c r="B14" s="8">
        <v>1.7999999999999999E-2</v>
      </c>
      <c r="C14" s="8">
        <f>ROUNDUP(B14*'Multiplication factors'!$M$14,2)</f>
        <v>0.01</v>
      </c>
      <c r="D14" s="7">
        <f t="shared" si="0"/>
        <v>0.1</v>
      </c>
      <c r="E14" s="8">
        <v>0.26100000000000001</v>
      </c>
      <c r="F14" s="8">
        <f>ROUND(E14*'Multiplication factors'!$Q$14,2)</f>
        <v>0.56000000000000005</v>
      </c>
      <c r="G14" s="7">
        <f t="shared" si="1"/>
        <v>1.4</v>
      </c>
      <c r="H14" s="8">
        <v>1.4999999999999999E-2</v>
      </c>
      <c r="I14" s="8">
        <f>ROUND(H14*'Multiplication factors'!$U$14,2)</f>
        <v>0.65</v>
      </c>
      <c r="J14" s="7">
        <f t="shared" si="2"/>
        <v>8.1300000000000008</v>
      </c>
    </row>
    <row r="15" spans="1:10" x14ac:dyDescent="0.35">
      <c r="A15" s="1">
        <v>13</v>
      </c>
      <c r="B15" s="8">
        <v>6.0000000000000001E-3</v>
      </c>
      <c r="C15" s="8">
        <f>ROUNDUP(B15*'Multiplication factors'!$M$14,2)</f>
        <v>0.01</v>
      </c>
      <c r="D15" s="7">
        <f t="shared" si="0"/>
        <v>0.1</v>
      </c>
      <c r="E15" s="8">
        <v>0.28599999999999998</v>
      </c>
      <c r="F15" s="8">
        <f>ROUND(E15*'Multiplication factors'!$Q$14,2)</f>
        <v>0.61</v>
      </c>
      <c r="G15" s="7">
        <f t="shared" si="1"/>
        <v>1.53</v>
      </c>
      <c r="H15" s="8">
        <v>2.5999999999999999E-2</v>
      </c>
      <c r="I15" s="8">
        <f>ROUND(H15*'Multiplication factors'!$U$14,2)</f>
        <v>1.1200000000000001</v>
      </c>
      <c r="J15" s="7">
        <f t="shared" si="2"/>
        <v>14</v>
      </c>
    </row>
    <row r="16" spans="1:10" x14ac:dyDescent="0.35">
      <c r="A16" s="1">
        <v>14</v>
      </c>
      <c r="B16" s="8">
        <v>0.02</v>
      </c>
      <c r="C16" s="8">
        <f>ROUNDUP(B16*'Multiplication factors'!$M$14,2)</f>
        <v>0.01</v>
      </c>
      <c r="D16" s="7">
        <f t="shared" si="0"/>
        <v>0.1</v>
      </c>
      <c r="E16" s="8">
        <v>0.214</v>
      </c>
      <c r="F16" s="8">
        <f>ROUND(E16*'Multiplication factors'!$Q$14,2)</f>
        <v>0.46</v>
      </c>
      <c r="G16" s="7">
        <f t="shared" si="1"/>
        <v>1.1499999999999999</v>
      </c>
      <c r="H16" s="8">
        <v>2.1000000000000001E-2</v>
      </c>
      <c r="I16" s="8">
        <f>ROUND(H16*'Multiplication factors'!$U$14,2)</f>
        <v>0.91</v>
      </c>
      <c r="J16" s="7">
        <f t="shared" si="2"/>
        <v>11.38</v>
      </c>
    </row>
    <row r="17" spans="1:10" x14ac:dyDescent="0.35">
      <c r="A17" s="1">
        <v>15</v>
      </c>
      <c r="B17" s="8">
        <v>2.8000000000000001E-2</v>
      </c>
      <c r="C17" s="8">
        <f>ROUNDUP(B17*'Multiplication factors'!$M$14,2)</f>
        <v>0.01</v>
      </c>
      <c r="D17" s="7">
        <f t="shared" si="0"/>
        <v>0.1</v>
      </c>
      <c r="E17" s="8">
        <v>0.14599999999999999</v>
      </c>
      <c r="F17" s="8">
        <f>ROUND(E17*'Multiplication factors'!$Q$14,2)</f>
        <v>0.31</v>
      </c>
      <c r="G17" s="7">
        <f t="shared" si="1"/>
        <v>0.78</v>
      </c>
      <c r="H17" s="8">
        <v>1.9E-2</v>
      </c>
      <c r="I17" s="8">
        <f>ROUND(H17*'Multiplication factors'!$U$14,2)</f>
        <v>0.82</v>
      </c>
      <c r="J17" s="7">
        <f t="shared" si="2"/>
        <v>10.25</v>
      </c>
    </row>
    <row r="18" spans="1:10" x14ac:dyDescent="0.35">
      <c r="A18" s="1">
        <v>16</v>
      </c>
      <c r="B18" s="8">
        <v>2.4E-2</v>
      </c>
      <c r="C18" s="8">
        <f>ROUNDUP(B18*'Multiplication factors'!$M$14,2)</f>
        <v>0.01</v>
      </c>
      <c r="D18" s="7">
        <f t="shared" si="0"/>
        <v>0.1</v>
      </c>
      <c r="E18" s="8">
        <v>0.187</v>
      </c>
      <c r="F18" s="8">
        <f>ROUND(E18*'Multiplication factors'!$Q$14,2)</f>
        <v>0.4</v>
      </c>
      <c r="G18" s="7">
        <f t="shared" si="1"/>
        <v>1</v>
      </c>
      <c r="H18" s="8">
        <v>1.4E-2</v>
      </c>
      <c r="I18" s="8">
        <f>ROUND(H18*'Multiplication factors'!$U$14,2)</f>
        <v>0.61</v>
      </c>
      <c r="J18" s="7">
        <f t="shared" si="2"/>
        <v>7.63</v>
      </c>
    </row>
    <row r="19" spans="1:10" x14ac:dyDescent="0.35">
      <c r="A19" s="1">
        <v>17</v>
      </c>
      <c r="B19" s="8">
        <v>3.2000000000000001E-2</v>
      </c>
      <c r="C19" s="8">
        <f>ROUNDUP(B19*'Multiplication factors'!$M$14,2)</f>
        <v>0.01</v>
      </c>
      <c r="D19" s="7">
        <f t="shared" si="0"/>
        <v>0.1</v>
      </c>
      <c r="E19" s="8">
        <v>0.248</v>
      </c>
      <c r="F19" s="8">
        <f>ROUND(E19*'Multiplication factors'!$Q$14,2)</f>
        <v>0.53</v>
      </c>
      <c r="G19" s="7">
        <f t="shared" si="1"/>
        <v>1.33</v>
      </c>
      <c r="H19" s="8">
        <v>8.0000000000000002E-3</v>
      </c>
      <c r="I19" s="8">
        <f>ROUND(H19*'Multiplication factors'!$U$14,2)</f>
        <v>0.35</v>
      </c>
      <c r="J19" s="7">
        <f t="shared" si="2"/>
        <v>4.38</v>
      </c>
    </row>
    <row r="20" spans="1:10" x14ac:dyDescent="0.35">
      <c r="A20" s="1">
        <v>18</v>
      </c>
      <c r="B20" s="8">
        <v>2.9000000000000001E-2</v>
      </c>
      <c r="C20" s="8">
        <f>ROUNDUP(B20*'Multiplication factors'!$M$14,2)</f>
        <v>0.01</v>
      </c>
      <c r="D20" s="7">
        <f t="shared" si="0"/>
        <v>0.1</v>
      </c>
      <c r="E20" s="8">
        <v>0.26800000000000002</v>
      </c>
      <c r="F20" s="8">
        <f>ROUND(E20*'Multiplication factors'!$Q$14,2)</f>
        <v>0.56999999999999995</v>
      </c>
      <c r="G20" s="7">
        <f t="shared" si="1"/>
        <v>1.43</v>
      </c>
      <c r="H20" s="8">
        <v>5.0000000000000001E-3</v>
      </c>
      <c r="I20" s="8">
        <f>ROUND(H20*'Multiplication factors'!$U$14,2)</f>
        <v>0.22</v>
      </c>
      <c r="J20" s="7">
        <f t="shared" si="2"/>
        <v>2.75</v>
      </c>
    </row>
    <row r="21" spans="1:10" x14ac:dyDescent="0.35">
      <c r="A21" s="1">
        <v>19</v>
      </c>
      <c r="B21" s="8">
        <v>2.9000000000000001E-2</v>
      </c>
      <c r="C21" s="8">
        <f>ROUNDUP(B21*'Multiplication factors'!$M$14,2)</f>
        <v>0.01</v>
      </c>
      <c r="D21" s="7">
        <f t="shared" si="0"/>
        <v>0.1</v>
      </c>
      <c r="E21" s="8">
        <v>0.34499999999999997</v>
      </c>
      <c r="F21" s="8">
        <f>ROUND(E21*'Multiplication factors'!$Q$14,2)</f>
        <v>0.74</v>
      </c>
      <c r="G21" s="7">
        <f t="shared" si="1"/>
        <v>1.85</v>
      </c>
      <c r="H21" s="8">
        <v>1.4E-2</v>
      </c>
      <c r="I21" s="8">
        <f>ROUND(H21*'Multiplication factors'!$U$14,2)</f>
        <v>0.61</v>
      </c>
      <c r="J21" s="7">
        <f t="shared" si="2"/>
        <v>7.63</v>
      </c>
    </row>
    <row r="22" spans="1:10" x14ac:dyDescent="0.35">
      <c r="A22" s="1">
        <v>20</v>
      </c>
      <c r="B22" s="8">
        <v>1.6E-2</v>
      </c>
      <c r="C22" s="8">
        <f>ROUNDUP(B22*'Multiplication factors'!$M$14,2)</f>
        <v>0.01</v>
      </c>
      <c r="D22" s="7">
        <f t="shared" si="0"/>
        <v>0.1</v>
      </c>
      <c r="E22" s="8">
        <v>0.25600000000000001</v>
      </c>
      <c r="F22" s="8">
        <f>ROUND(E22*'Multiplication factors'!$Q$14,2)</f>
        <v>0.55000000000000004</v>
      </c>
      <c r="G22" s="7">
        <f t="shared" si="1"/>
        <v>1.38</v>
      </c>
      <c r="H22" s="8">
        <v>2.5000000000000001E-2</v>
      </c>
      <c r="I22" s="8">
        <f>ROUND(H22*'Multiplication factors'!$U$14,2)</f>
        <v>1.08</v>
      </c>
      <c r="J22" s="7">
        <f t="shared" si="2"/>
        <v>13.5</v>
      </c>
    </row>
    <row r="23" spans="1:10" x14ac:dyDescent="0.35">
      <c r="A23" s="1">
        <v>21</v>
      </c>
      <c r="B23" s="8">
        <v>5.1999999999999998E-2</v>
      </c>
      <c r="C23" s="8">
        <f>ROUNDUP(B23*'Multiplication factors'!$M$14,2)</f>
        <v>0.01</v>
      </c>
      <c r="D23" s="7">
        <f t="shared" si="0"/>
        <v>0.1</v>
      </c>
      <c r="E23" s="8">
        <v>0.72899999999999998</v>
      </c>
      <c r="F23" s="8">
        <f>ROUND(E23*'Multiplication factors'!$Q$14,2)</f>
        <v>1.56</v>
      </c>
      <c r="G23" s="7">
        <f t="shared" si="1"/>
        <v>3.9</v>
      </c>
      <c r="H23" s="8">
        <v>1.4E-2</v>
      </c>
      <c r="I23" s="8">
        <f>ROUND(H23*'Multiplication factors'!$U$14,2)</f>
        <v>0.61</v>
      </c>
      <c r="J23" s="7">
        <f t="shared" si="2"/>
        <v>7.63</v>
      </c>
    </row>
    <row r="24" spans="1:10" x14ac:dyDescent="0.35">
      <c r="A24" s="1">
        <v>22</v>
      </c>
      <c r="B24" s="8">
        <v>1.4E-2</v>
      </c>
      <c r="C24" s="8">
        <f>ROUNDUP(B24*'Multiplication factors'!$M$14,2)</f>
        <v>0.01</v>
      </c>
      <c r="D24" s="7">
        <f t="shared" si="0"/>
        <v>0.1</v>
      </c>
      <c r="E24" s="8">
        <v>0.42799999999999999</v>
      </c>
      <c r="F24" s="8">
        <f>ROUND(E24*'Multiplication factors'!$Q$14,2)</f>
        <v>0.92</v>
      </c>
      <c r="G24" s="7">
        <f t="shared" si="1"/>
        <v>2.2999999999999998</v>
      </c>
      <c r="H24" s="8">
        <v>2.5000000000000001E-2</v>
      </c>
      <c r="I24" s="8">
        <f>ROUND(H24*'Multiplication factors'!$U$14,2)</f>
        <v>1.08</v>
      </c>
      <c r="J24" s="7">
        <f t="shared" si="2"/>
        <v>13.5</v>
      </c>
    </row>
    <row r="25" spans="1:10" x14ac:dyDescent="0.35">
      <c r="A25" s="1">
        <v>23</v>
      </c>
      <c r="B25" s="8">
        <v>1.2E-2</v>
      </c>
      <c r="C25" s="8">
        <f>ROUNDUP(B25*'Multiplication factors'!$M$14,2)</f>
        <v>0.01</v>
      </c>
      <c r="D25" s="7">
        <f t="shared" si="0"/>
        <v>0.1</v>
      </c>
      <c r="E25" s="8">
        <v>0.308</v>
      </c>
      <c r="F25" s="8">
        <f>ROUND(E25*'Multiplication factors'!$Q$14,2)</f>
        <v>0.66</v>
      </c>
      <c r="G25" s="7">
        <f t="shared" si="1"/>
        <v>1.65</v>
      </c>
      <c r="H25" s="8">
        <v>2.4E-2</v>
      </c>
      <c r="I25" s="8">
        <f>ROUND(H25*'Multiplication factors'!$U$14,2)</f>
        <v>1.04</v>
      </c>
      <c r="J25" s="7">
        <f t="shared" si="2"/>
        <v>13</v>
      </c>
    </row>
    <row r="26" spans="1:10" x14ac:dyDescent="0.35">
      <c r="A26" s="1">
        <v>24</v>
      </c>
      <c r="B26" s="8">
        <v>0.01</v>
      </c>
      <c r="C26" s="8">
        <f>ROUNDUP(B26*'Multiplication factors'!$M$14,2)</f>
        <v>0.01</v>
      </c>
      <c r="D26" s="7">
        <f t="shared" si="0"/>
        <v>0.1</v>
      </c>
      <c r="E26" s="8">
        <v>0.255</v>
      </c>
      <c r="F26" s="8">
        <f>ROUND(E26*'Multiplication factors'!$Q$14,2)</f>
        <v>0.55000000000000004</v>
      </c>
      <c r="G26" s="7">
        <f t="shared" si="1"/>
        <v>1.38</v>
      </c>
      <c r="H26" s="8">
        <v>1.4E-2</v>
      </c>
      <c r="I26" s="8">
        <f>ROUND(H26*'Multiplication factors'!$U$14,2)</f>
        <v>0.61</v>
      </c>
      <c r="J26" s="7">
        <f t="shared" si="2"/>
        <v>7.63</v>
      </c>
    </row>
    <row r="27" spans="1:10" x14ac:dyDescent="0.35">
      <c r="A27" s="1">
        <v>25</v>
      </c>
      <c r="B27" s="8">
        <v>1.4999999999999999E-2</v>
      </c>
      <c r="C27" s="8">
        <f>ROUNDUP(B27*'Multiplication factors'!$M$14,2)</f>
        <v>0.01</v>
      </c>
      <c r="D27" s="7">
        <f t="shared" si="0"/>
        <v>0.1</v>
      </c>
      <c r="E27" s="8">
        <v>0.26400000000000001</v>
      </c>
      <c r="F27" s="8">
        <f>ROUND(E27*'Multiplication factors'!$Q$14,2)</f>
        <v>0.56000000000000005</v>
      </c>
      <c r="G27" s="7">
        <f t="shared" si="1"/>
        <v>1.4</v>
      </c>
      <c r="H27" s="8">
        <v>1.7000000000000001E-2</v>
      </c>
      <c r="I27" s="8">
        <f>ROUND(H27*'Multiplication factors'!$U$14,2)</f>
        <v>0.74</v>
      </c>
      <c r="J27" s="7">
        <f t="shared" si="2"/>
        <v>9.25</v>
      </c>
    </row>
    <row r="28" spans="1:10" x14ac:dyDescent="0.35">
      <c r="A28" s="1">
        <v>26</v>
      </c>
      <c r="B28" s="8">
        <v>1.4E-2</v>
      </c>
      <c r="C28" s="8">
        <f>ROUNDUP(B28*'Multiplication factors'!$M$14,2)</f>
        <v>0.01</v>
      </c>
      <c r="D28" s="7">
        <f t="shared" si="0"/>
        <v>0.1</v>
      </c>
      <c r="E28" s="8">
        <v>0.27500000000000002</v>
      </c>
      <c r="F28" s="8">
        <f>ROUND(E28*'Multiplication factors'!$Q$14,2)</f>
        <v>0.59</v>
      </c>
      <c r="G28" s="7">
        <f t="shared" si="1"/>
        <v>1.48</v>
      </c>
      <c r="H28" s="8">
        <v>1.2E-2</v>
      </c>
      <c r="I28" s="8">
        <f>ROUND(H28*'Multiplication factors'!$U$14,2)</f>
        <v>0.52</v>
      </c>
      <c r="J28" s="7">
        <f t="shared" si="2"/>
        <v>6.5</v>
      </c>
    </row>
    <row r="29" spans="1:10" x14ac:dyDescent="0.35">
      <c r="A29" s="1">
        <v>27</v>
      </c>
      <c r="B29" s="8">
        <v>0.02</v>
      </c>
      <c r="C29" s="8">
        <f>ROUNDUP(B29*'Multiplication factors'!$M$14,2)</f>
        <v>0.01</v>
      </c>
      <c r="D29" s="7">
        <f t="shared" si="0"/>
        <v>0.1</v>
      </c>
      <c r="E29" s="8">
        <v>0.28399999999999997</v>
      </c>
      <c r="F29" s="8">
        <f>ROUND(E29*'Multiplication factors'!$Q$14,2)</f>
        <v>0.61</v>
      </c>
      <c r="G29" s="7">
        <f t="shared" si="1"/>
        <v>1.53</v>
      </c>
      <c r="H29" s="8">
        <v>1.2999999999999999E-2</v>
      </c>
      <c r="I29" s="8">
        <f>ROUND(H29*'Multiplication factors'!$U$14,2)</f>
        <v>0.56000000000000005</v>
      </c>
      <c r="J29" s="7">
        <f t="shared" si="2"/>
        <v>7</v>
      </c>
    </row>
    <row r="30" spans="1:10" x14ac:dyDescent="0.35">
      <c r="A30" s="1">
        <v>28</v>
      </c>
      <c r="B30" s="8">
        <v>1.9E-2</v>
      </c>
      <c r="C30" s="8">
        <f>ROUNDUP(B30*'Multiplication factors'!$M$14,2)</f>
        <v>0.01</v>
      </c>
      <c r="D30" s="7">
        <f t="shared" si="0"/>
        <v>0.1</v>
      </c>
      <c r="E30" s="8">
        <v>0.34499999999999997</v>
      </c>
      <c r="F30" s="8">
        <f>ROUND(E30*'Multiplication factors'!$Q$14,2)</f>
        <v>0.74</v>
      </c>
      <c r="G30" s="7">
        <f t="shared" si="1"/>
        <v>1.85</v>
      </c>
      <c r="H30" s="8">
        <v>1.7999999999999999E-2</v>
      </c>
      <c r="I30" s="8">
        <f>ROUND(H30*'Multiplication factors'!$U$14,2)</f>
        <v>0.78</v>
      </c>
      <c r="J30" s="7">
        <f t="shared" si="2"/>
        <v>9.75</v>
      </c>
    </row>
    <row r="31" spans="1:10" x14ac:dyDescent="0.35">
      <c r="A31" s="1">
        <v>29</v>
      </c>
      <c r="B31" s="8">
        <v>6.0000000000000001E-3</v>
      </c>
      <c r="C31" s="8">
        <f>ROUNDUP(B31*'Multiplication factors'!$M$14,2)</f>
        <v>0.01</v>
      </c>
      <c r="D31" s="7">
        <f t="shared" si="0"/>
        <v>0.1</v>
      </c>
      <c r="E31" s="8">
        <v>0.27600000000000002</v>
      </c>
      <c r="F31" s="8">
        <f>ROUND(E31*'Multiplication factors'!$Q$14,2)</f>
        <v>0.59</v>
      </c>
      <c r="G31" s="7">
        <f t="shared" si="1"/>
        <v>1.48</v>
      </c>
      <c r="H31" s="8">
        <v>2.1000000000000001E-2</v>
      </c>
      <c r="I31" s="8">
        <f>ROUND(H31*'Multiplication factors'!$U$14,2)</f>
        <v>0.91</v>
      </c>
      <c r="J31" s="7">
        <f t="shared" si="2"/>
        <v>11.38</v>
      </c>
    </row>
    <row r="32" spans="1:10" x14ac:dyDescent="0.35">
      <c r="A32" s="1">
        <v>30</v>
      </c>
      <c r="B32" s="8">
        <v>7.0000000000000001E-3</v>
      </c>
      <c r="C32" s="8">
        <f>ROUNDUP(B32*'Multiplication factors'!$M$14,2)</f>
        <v>0.01</v>
      </c>
      <c r="D32" s="7">
        <f t="shared" si="0"/>
        <v>0.1</v>
      </c>
      <c r="E32" s="8">
        <v>0.14699999999999999</v>
      </c>
      <c r="F32" s="8">
        <f>ROUND(E32*'Multiplication factors'!$Q$14,2)</f>
        <v>0.31</v>
      </c>
      <c r="G32" s="7">
        <f t="shared" si="1"/>
        <v>0.78</v>
      </c>
      <c r="H32" s="8">
        <v>1.7000000000000001E-2</v>
      </c>
      <c r="I32" s="8">
        <f>ROUND(H32*'Multiplication factors'!$U$14,2)</f>
        <v>0.74</v>
      </c>
      <c r="J32" s="7">
        <f t="shared" si="2"/>
        <v>9.25</v>
      </c>
    </row>
    <row r="33" spans="1:10" x14ac:dyDescent="0.35">
      <c r="A33" s="1">
        <v>31</v>
      </c>
      <c r="B33" s="8">
        <v>3.1E-2</v>
      </c>
      <c r="C33" s="8">
        <f>ROUNDUP(B33*'Multiplication factors'!$M$14,2)</f>
        <v>0.01</v>
      </c>
      <c r="D33" s="7">
        <f t="shared" si="0"/>
        <v>0.1</v>
      </c>
      <c r="E33" s="8">
        <v>0.26600000000000001</v>
      </c>
      <c r="F33" s="8">
        <f>ROUND(E33*'Multiplication factors'!$Q$14,2)</f>
        <v>0.56999999999999995</v>
      </c>
      <c r="G33" s="7">
        <f t="shared" si="1"/>
        <v>1.43</v>
      </c>
      <c r="H33" s="8">
        <v>2.1999999999999999E-2</v>
      </c>
      <c r="I33" s="8">
        <f>ROUND(H33*'Multiplication factors'!$U$14,2)</f>
        <v>0.95</v>
      </c>
      <c r="J33" s="7">
        <f t="shared" si="2"/>
        <v>11.88</v>
      </c>
    </row>
    <row r="34" spans="1:10" x14ac:dyDescent="0.35">
      <c r="A34" s="1">
        <v>32</v>
      </c>
      <c r="B34" s="8">
        <v>2.1000000000000001E-2</v>
      </c>
      <c r="C34" s="8">
        <f>ROUNDUP(B34*'Multiplication factors'!$M$14,2)</f>
        <v>0.01</v>
      </c>
      <c r="D34" s="7">
        <f t="shared" si="0"/>
        <v>0.1</v>
      </c>
      <c r="E34" s="8">
        <v>0.27900000000000003</v>
      </c>
      <c r="F34" s="8">
        <f>ROUND(E34*'Multiplication factors'!$Q$14,2)</f>
        <v>0.6</v>
      </c>
      <c r="G34" s="7">
        <f t="shared" si="1"/>
        <v>1.5</v>
      </c>
      <c r="H34" s="8">
        <v>2.4E-2</v>
      </c>
      <c r="I34" s="8">
        <f>ROUND(H34*'Multiplication factors'!$U$14,2)</f>
        <v>1.04</v>
      </c>
      <c r="J34" s="7">
        <f t="shared" si="2"/>
        <v>13</v>
      </c>
    </row>
    <row r="35" spans="1:10" x14ac:dyDescent="0.35">
      <c r="A35" s="1">
        <v>33</v>
      </c>
      <c r="B35" s="8">
        <v>0.04</v>
      </c>
      <c r="C35" s="8">
        <f>ROUNDUP(B35*'Multiplication factors'!$M$14,2)</f>
        <v>0.01</v>
      </c>
      <c r="D35" s="7">
        <f t="shared" si="0"/>
        <v>0.1</v>
      </c>
      <c r="E35" s="8">
        <v>0.25600000000000001</v>
      </c>
      <c r="F35" s="8">
        <f>ROUND(E35*'Multiplication factors'!$Q$14,2)</f>
        <v>0.55000000000000004</v>
      </c>
      <c r="G35" s="7">
        <f t="shared" si="1"/>
        <v>1.38</v>
      </c>
      <c r="H35" s="8">
        <v>1.4E-2</v>
      </c>
      <c r="I35" s="8">
        <f>ROUND(H35*'Multiplication factors'!$U$14,2)</f>
        <v>0.61</v>
      </c>
      <c r="J35" s="7">
        <f t="shared" si="2"/>
        <v>7.63</v>
      </c>
    </row>
    <row r="36" spans="1:10" x14ac:dyDescent="0.35">
      <c r="A36" s="1">
        <v>34</v>
      </c>
      <c r="B36" s="8">
        <v>1.7999999999999999E-2</v>
      </c>
      <c r="C36" s="8">
        <f>ROUNDUP(B36*'Multiplication factors'!$M$14,2)</f>
        <v>0.01</v>
      </c>
      <c r="D36" s="7">
        <f t="shared" si="0"/>
        <v>0.1</v>
      </c>
      <c r="E36" s="8">
        <v>0.26100000000000001</v>
      </c>
      <c r="F36" s="8">
        <f>ROUND(E36*'Multiplication factors'!$Q$14,2)</f>
        <v>0.56000000000000005</v>
      </c>
      <c r="G36" s="7">
        <f t="shared" si="1"/>
        <v>1.4</v>
      </c>
      <c r="H36" s="8">
        <v>1.4E-2</v>
      </c>
      <c r="I36" s="8">
        <f>ROUND(H36*'Multiplication factors'!$U$14,2)</f>
        <v>0.61</v>
      </c>
      <c r="J36" s="7">
        <f t="shared" si="2"/>
        <v>7.63</v>
      </c>
    </row>
    <row r="37" spans="1:10" x14ac:dyDescent="0.35">
      <c r="A37" s="1">
        <v>35</v>
      </c>
      <c r="B37" s="8">
        <v>0.01</v>
      </c>
      <c r="C37" s="8">
        <f>ROUNDUP(B37*'Multiplication factors'!$M$14,2)</f>
        <v>0.01</v>
      </c>
      <c r="D37" s="7">
        <f t="shared" si="0"/>
        <v>0.1</v>
      </c>
      <c r="E37" s="8">
        <v>0.27900000000000003</v>
      </c>
      <c r="F37" s="8">
        <f>ROUND(E37*'Multiplication factors'!$Q$14,2)</f>
        <v>0.6</v>
      </c>
      <c r="G37" s="7">
        <f t="shared" si="1"/>
        <v>1.5</v>
      </c>
      <c r="H37" s="8">
        <v>0.03</v>
      </c>
      <c r="I37" s="8">
        <f>ROUND(H37*'Multiplication factors'!$U$14,2)</f>
        <v>1.3</v>
      </c>
      <c r="J37" s="7">
        <f t="shared" si="2"/>
        <v>16.25</v>
      </c>
    </row>
    <row r="38" spans="1:10" x14ac:dyDescent="0.35">
      <c r="A38" s="1">
        <v>36</v>
      </c>
      <c r="B38" s="8">
        <v>2.5000000000000001E-2</v>
      </c>
      <c r="C38" s="8">
        <f>ROUNDUP(B38*'Multiplication factors'!$M$14,2)</f>
        <v>0.01</v>
      </c>
      <c r="D38" s="7">
        <f t="shared" si="0"/>
        <v>0.1</v>
      </c>
      <c r="E38" s="8">
        <v>0.27800000000000002</v>
      </c>
      <c r="F38" s="8">
        <f>ROUND(E38*'Multiplication factors'!$Q$14,2)</f>
        <v>0.59</v>
      </c>
      <c r="G38" s="7">
        <f t="shared" si="1"/>
        <v>1.48</v>
      </c>
      <c r="H38" s="8">
        <v>1.4E-2</v>
      </c>
      <c r="I38" s="8">
        <f>ROUND(H38*'Multiplication factors'!$U$14,2)</f>
        <v>0.61</v>
      </c>
      <c r="J38" s="7">
        <f t="shared" si="2"/>
        <v>7.63</v>
      </c>
    </row>
    <row r="39" spans="1:10" x14ac:dyDescent="0.35">
      <c r="A39" s="1">
        <v>37</v>
      </c>
      <c r="B39" s="8">
        <v>4.7E-2</v>
      </c>
      <c r="C39" s="8">
        <f>ROUNDUP(B39*'Multiplication factors'!$M$14,2)</f>
        <v>0.01</v>
      </c>
      <c r="D39" s="7">
        <f t="shared" si="0"/>
        <v>0.1</v>
      </c>
      <c r="E39" s="8">
        <v>0.32200000000000001</v>
      </c>
      <c r="F39" s="8">
        <f>ROUND(E39*'Multiplication factors'!$Q$14,2)</f>
        <v>0.69</v>
      </c>
      <c r="G39" s="7">
        <f t="shared" si="1"/>
        <v>1.73</v>
      </c>
      <c r="H39" s="8">
        <v>1.4E-2</v>
      </c>
      <c r="I39" s="8">
        <f>ROUND(H39*'Multiplication factors'!$U$14,2)</f>
        <v>0.61</v>
      </c>
      <c r="J39" s="7">
        <f t="shared" si="2"/>
        <v>7.63</v>
      </c>
    </row>
    <row r="40" spans="1:10" x14ac:dyDescent="0.35">
      <c r="A40" s="1">
        <v>38</v>
      </c>
      <c r="B40" s="8">
        <v>7.0000000000000001E-3</v>
      </c>
      <c r="C40" s="8">
        <f>ROUNDUP(B40*'Multiplication factors'!$M$14,2)</f>
        <v>0.01</v>
      </c>
      <c r="D40" s="7">
        <f t="shared" si="0"/>
        <v>0.1</v>
      </c>
      <c r="E40" s="8">
        <v>0.23799999999999999</v>
      </c>
      <c r="F40" s="8">
        <f>ROUND(E40*'Multiplication factors'!$Q$14,2)</f>
        <v>0.51</v>
      </c>
      <c r="G40" s="7">
        <f t="shared" si="1"/>
        <v>1.28</v>
      </c>
      <c r="H40" s="8">
        <v>2.5000000000000001E-2</v>
      </c>
      <c r="I40" s="8">
        <f>ROUND(H40*'Multiplication factors'!$U$14,2)</f>
        <v>1.08</v>
      </c>
      <c r="J40" s="7">
        <f t="shared" si="2"/>
        <v>13.5</v>
      </c>
    </row>
    <row r="41" spans="1:10" x14ac:dyDescent="0.35">
      <c r="A41" s="1">
        <v>39</v>
      </c>
      <c r="B41" s="8">
        <v>2.5000000000000001E-2</v>
      </c>
      <c r="C41" s="8">
        <f>ROUNDUP(B41*'Multiplication factors'!$M$14,2)</f>
        <v>0.01</v>
      </c>
      <c r="D41" s="7">
        <f t="shared" si="0"/>
        <v>0.1</v>
      </c>
      <c r="E41" s="8">
        <v>0.23799999999999999</v>
      </c>
      <c r="F41" s="8">
        <f>ROUND(E41*'Multiplication factors'!$Q$14,2)</f>
        <v>0.51</v>
      </c>
      <c r="G41" s="7">
        <f t="shared" si="1"/>
        <v>1.28</v>
      </c>
      <c r="H41" s="8">
        <v>1.7999999999999999E-2</v>
      </c>
      <c r="I41" s="8">
        <f>ROUND(H41*'Multiplication factors'!$U$14,2)</f>
        <v>0.78</v>
      </c>
      <c r="J41" s="7">
        <f t="shared" si="2"/>
        <v>9.75</v>
      </c>
    </row>
    <row r="42" spans="1:10" x14ac:dyDescent="0.35">
      <c r="A42" s="1">
        <v>40</v>
      </c>
      <c r="B42" s="8">
        <v>2.5999999999999999E-2</v>
      </c>
      <c r="C42" s="8">
        <f>ROUNDUP(B42*'Multiplication factors'!$M$14,2)</f>
        <v>0.01</v>
      </c>
      <c r="D42" s="7">
        <f t="shared" si="0"/>
        <v>0.1</v>
      </c>
      <c r="E42" s="8">
        <v>0.26600000000000001</v>
      </c>
      <c r="F42" s="8">
        <f>ROUND(E42*'Multiplication factors'!$Q$14,2)</f>
        <v>0.56999999999999995</v>
      </c>
      <c r="G42" s="7">
        <f t="shared" si="1"/>
        <v>1.43</v>
      </c>
      <c r="H42" s="8">
        <v>7.0000000000000001E-3</v>
      </c>
      <c r="I42" s="8">
        <f>ROUND(H42*'Multiplication factors'!$U$14,2)</f>
        <v>0.3</v>
      </c>
      <c r="J42" s="7">
        <f t="shared" si="2"/>
        <v>3.75</v>
      </c>
    </row>
    <row r="43" spans="1:10" x14ac:dyDescent="0.35">
      <c r="A43" s="1">
        <v>41</v>
      </c>
      <c r="B43" s="8">
        <v>1.7000000000000001E-2</v>
      </c>
      <c r="C43" s="8">
        <f>ROUNDUP(B43*'Multiplication factors'!$M$14,2)</f>
        <v>0.01</v>
      </c>
      <c r="D43" s="7">
        <f t="shared" si="0"/>
        <v>0.1</v>
      </c>
      <c r="E43" s="8">
        <v>0.26900000000000002</v>
      </c>
      <c r="F43" s="8">
        <f>ROUND(E43*'Multiplication factors'!$Q$14,2)</f>
        <v>0.57999999999999996</v>
      </c>
      <c r="G43" s="7">
        <f t="shared" si="1"/>
        <v>1.45</v>
      </c>
      <c r="H43" s="8">
        <v>4.0000000000000001E-3</v>
      </c>
      <c r="I43" s="8">
        <f>ROUND(H43*'Multiplication factors'!$U$14,2)</f>
        <v>0.17</v>
      </c>
      <c r="J43" s="7">
        <f t="shared" si="2"/>
        <v>2.13</v>
      </c>
    </row>
    <row r="44" spans="1:10" x14ac:dyDescent="0.35">
      <c r="A44" s="1">
        <v>42</v>
      </c>
      <c r="B44" s="8">
        <v>0.01</v>
      </c>
      <c r="C44" s="8">
        <f>ROUNDUP(B44*'Multiplication factors'!$M$14,2)</f>
        <v>0.01</v>
      </c>
      <c r="D44" s="7">
        <f t="shared" si="0"/>
        <v>0.1</v>
      </c>
      <c r="E44" s="8">
        <v>0.254</v>
      </c>
      <c r="F44" s="8">
        <f>ROUND(E44*'Multiplication factors'!$Q$14,2)</f>
        <v>0.54</v>
      </c>
      <c r="G44" s="7">
        <f t="shared" si="1"/>
        <v>1.35</v>
      </c>
      <c r="H44" s="8">
        <v>5.0000000000000001E-3</v>
      </c>
      <c r="I44" s="8">
        <f>ROUND(H44*'Multiplication factors'!$U$14,2)</f>
        <v>0.22</v>
      </c>
      <c r="J44" s="7">
        <f t="shared" si="2"/>
        <v>2.75</v>
      </c>
    </row>
    <row r="45" spans="1:10" x14ac:dyDescent="0.35">
      <c r="A45" s="1">
        <v>43</v>
      </c>
      <c r="B45" s="8">
        <v>1.2E-2</v>
      </c>
      <c r="C45" s="8">
        <f>ROUNDUP(B45*'Multiplication factors'!$M$14,2)</f>
        <v>0.01</v>
      </c>
      <c r="D45" s="7">
        <f t="shared" si="0"/>
        <v>0.1</v>
      </c>
      <c r="E45" s="8">
        <v>0.26400000000000001</v>
      </c>
      <c r="F45" s="8">
        <f>ROUND(E45*'Multiplication factors'!$Q$14,2)</f>
        <v>0.56000000000000005</v>
      </c>
      <c r="G45" s="7">
        <f t="shared" si="1"/>
        <v>1.4</v>
      </c>
      <c r="H45" s="8">
        <v>4.0000000000000001E-3</v>
      </c>
      <c r="I45" s="8">
        <f>ROUND(H45*'Multiplication factors'!$U$14,2)</f>
        <v>0.17</v>
      </c>
      <c r="J45" s="7">
        <f t="shared" si="2"/>
        <v>2.13</v>
      </c>
    </row>
    <row r="46" spans="1:10" x14ac:dyDescent="0.35">
      <c r="A46" s="1">
        <v>44</v>
      </c>
      <c r="B46" s="8">
        <v>1.9E-2</v>
      </c>
      <c r="C46" s="8">
        <f>ROUNDUP(B46*'Multiplication factors'!$M$14,2)</f>
        <v>0.01</v>
      </c>
      <c r="D46" s="7">
        <f t="shared" si="0"/>
        <v>0.1</v>
      </c>
      <c r="E46" s="8">
        <v>0.311</v>
      </c>
      <c r="F46" s="8">
        <f>ROUND(E46*'Multiplication factors'!$Q$14,2)</f>
        <v>0.67</v>
      </c>
      <c r="G46" s="7">
        <f t="shared" si="1"/>
        <v>1.68</v>
      </c>
      <c r="H46" s="8">
        <v>2E-3</v>
      </c>
      <c r="I46" s="8">
        <f>ROUND(H46*'Multiplication factors'!$U$14,2)</f>
        <v>0.09</v>
      </c>
      <c r="J46" s="7">
        <f t="shared" si="2"/>
        <v>1.1299999999999999</v>
      </c>
    </row>
    <row r="47" spans="1:10" x14ac:dyDescent="0.35">
      <c r="A47" s="1">
        <v>45</v>
      </c>
      <c r="B47" s="8">
        <v>3.1E-2</v>
      </c>
      <c r="C47" s="8">
        <f>ROUNDUP(B47*'Multiplication factors'!$M$14,2)</f>
        <v>0.01</v>
      </c>
      <c r="D47" s="7">
        <f t="shared" si="0"/>
        <v>0.1</v>
      </c>
      <c r="E47" s="8">
        <v>0.34899999999999998</v>
      </c>
      <c r="F47" s="8">
        <f>ROUND(E47*'Multiplication factors'!$Q$14,2)</f>
        <v>0.75</v>
      </c>
      <c r="G47" s="7">
        <f t="shared" si="1"/>
        <v>1.88</v>
      </c>
      <c r="H47" s="8">
        <v>4.0000000000000001E-3</v>
      </c>
      <c r="I47" s="8">
        <f>ROUND(H47*'Multiplication factors'!$U$14,2)</f>
        <v>0.17</v>
      </c>
      <c r="J47" s="7">
        <f t="shared" si="2"/>
        <v>2.13</v>
      </c>
    </row>
    <row r="48" spans="1:10" x14ac:dyDescent="0.35">
      <c r="A48" s="1">
        <v>46</v>
      </c>
      <c r="B48" s="8">
        <v>6.0000000000000001E-3</v>
      </c>
      <c r="C48" s="8">
        <f>ROUNDUP(B48*'Multiplication factors'!$M$14,2)</f>
        <v>0.01</v>
      </c>
      <c r="D48" s="7">
        <f t="shared" si="0"/>
        <v>0.1</v>
      </c>
      <c r="E48" s="8">
        <v>0.23300000000000001</v>
      </c>
      <c r="F48" s="8">
        <f>ROUND(E48*'Multiplication factors'!$Q$14,2)</f>
        <v>0.5</v>
      </c>
      <c r="G48" s="7">
        <f t="shared" si="1"/>
        <v>1.25</v>
      </c>
      <c r="H48" s="8">
        <v>1.7999999999999999E-2</v>
      </c>
      <c r="I48" s="8">
        <f>ROUND(H48*'Multiplication factors'!$U$14,2)</f>
        <v>0.78</v>
      </c>
      <c r="J48" s="7">
        <f t="shared" si="2"/>
        <v>9.75</v>
      </c>
    </row>
    <row r="49" spans="1:10" x14ac:dyDescent="0.35">
      <c r="A49" s="1">
        <v>47</v>
      </c>
      <c r="B49" s="8">
        <v>2.5000000000000001E-2</v>
      </c>
      <c r="C49" s="8">
        <f>ROUNDUP(B49*'Multiplication factors'!$M$14,2)</f>
        <v>0.01</v>
      </c>
      <c r="D49" s="7">
        <f t="shared" si="0"/>
        <v>0.1</v>
      </c>
      <c r="E49" s="8">
        <v>0.251</v>
      </c>
      <c r="F49" s="8">
        <f>ROUND(E49*'Multiplication factors'!$Q$14,2)</f>
        <v>0.54</v>
      </c>
      <c r="G49" s="7">
        <f t="shared" si="1"/>
        <v>1.35</v>
      </c>
      <c r="H49" s="8">
        <v>1.2E-2</v>
      </c>
      <c r="I49" s="8">
        <f>ROUND(H49*'Multiplication factors'!$U$14,2)</f>
        <v>0.52</v>
      </c>
      <c r="J49" s="7">
        <f t="shared" si="2"/>
        <v>6.5</v>
      </c>
    </row>
    <row r="50" spans="1:10" x14ac:dyDescent="0.35">
      <c r="A50" s="1">
        <v>48</v>
      </c>
      <c r="B50" s="8">
        <v>5.1999999999999998E-2</v>
      </c>
      <c r="C50" s="8">
        <f>ROUNDUP(B50*'Multiplication factors'!$M$14,2)</f>
        <v>0.01</v>
      </c>
      <c r="D50" s="7">
        <f t="shared" si="0"/>
        <v>0.1</v>
      </c>
      <c r="E50" s="8">
        <v>0.27</v>
      </c>
      <c r="F50" s="8">
        <f>ROUND(E50*'Multiplication factors'!$Q$14,2)</f>
        <v>0.57999999999999996</v>
      </c>
      <c r="G50" s="7">
        <f t="shared" si="1"/>
        <v>1.45</v>
      </c>
      <c r="H50" s="8">
        <v>1.2999999999999999E-2</v>
      </c>
      <c r="I50" s="8">
        <f>ROUND(H50*'Multiplication factors'!$U$14,2)</f>
        <v>0.56000000000000005</v>
      </c>
      <c r="J50" s="7">
        <f t="shared" si="2"/>
        <v>7</v>
      </c>
    </row>
    <row r="51" spans="1:10" x14ac:dyDescent="0.35">
      <c r="A51" s="1">
        <v>49</v>
      </c>
      <c r="B51" s="8">
        <v>2.5999999999999999E-2</v>
      </c>
      <c r="C51" s="8">
        <f>ROUNDUP(B51*'Multiplication factors'!$M$14,2)</f>
        <v>0.01</v>
      </c>
      <c r="D51" s="7">
        <f t="shared" si="0"/>
        <v>0.1</v>
      </c>
      <c r="E51" s="8">
        <v>0.42099999999999999</v>
      </c>
      <c r="F51" s="8">
        <f>ROUND(E51*'Multiplication factors'!$Q$14,2)</f>
        <v>0.9</v>
      </c>
      <c r="G51" s="7">
        <f t="shared" si="1"/>
        <v>2.25</v>
      </c>
      <c r="H51" s="8">
        <v>1.0999999999999999E-2</v>
      </c>
      <c r="I51" s="8">
        <f>ROUND(H51*'Multiplication factors'!$U$14,2)</f>
        <v>0.48</v>
      </c>
      <c r="J51" s="7">
        <f t="shared" si="2"/>
        <v>6</v>
      </c>
    </row>
    <row r="52" spans="1:10" x14ac:dyDescent="0.35">
      <c r="A52" s="1">
        <v>50</v>
      </c>
      <c r="B52" s="8">
        <v>3.0000000000000001E-3</v>
      </c>
      <c r="C52" s="8">
        <f>ROUNDUP(B52*'Multiplication factors'!$M$14,2)</f>
        <v>0.01</v>
      </c>
      <c r="D52" s="7">
        <f t="shared" si="0"/>
        <v>0.1</v>
      </c>
      <c r="E52" s="8">
        <v>0.247</v>
      </c>
      <c r="F52" s="8">
        <f>ROUND(E52*'Multiplication factors'!$Q$14,2)</f>
        <v>0.53</v>
      </c>
      <c r="G52" s="7">
        <f t="shared" si="1"/>
        <v>1.33</v>
      </c>
      <c r="H52" s="8">
        <v>1.4999999999999999E-2</v>
      </c>
      <c r="I52" s="8">
        <f>ROUND(H52*'Multiplication factors'!$U$14,2)</f>
        <v>0.65</v>
      </c>
      <c r="J52" s="7">
        <f t="shared" si="2"/>
        <v>8.1300000000000008</v>
      </c>
    </row>
    <row r="53" spans="1:10" x14ac:dyDescent="0.35">
      <c r="A53" s="1">
        <v>51</v>
      </c>
      <c r="B53" s="8">
        <v>7.6999999999999999E-2</v>
      </c>
      <c r="C53" s="8">
        <f>ROUNDUP(B53*'Multiplication factors'!$M$14,2)</f>
        <v>0.01</v>
      </c>
      <c r="D53" s="7">
        <f t="shared" si="0"/>
        <v>0.1</v>
      </c>
      <c r="E53" s="8">
        <v>0.39700000000000002</v>
      </c>
      <c r="F53" s="8">
        <f>ROUND(E53*'Multiplication factors'!$Q$14,2)</f>
        <v>0.85</v>
      </c>
      <c r="G53" s="7">
        <f t="shared" si="1"/>
        <v>2.13</v>
      </c>
      <c r="H53" s="8">
        <v>1.6E-2</v>
      </c>
      <c r="I53" s="8">
        <f>ROUND(H53*'Multiplication factors'!$U$14,2)</f>
        <v>0.69</v>
      </c>
      <c r="J53" s="7">
        <f t="shared" si="2"/>
        <v>8.6300000000000008</v>
      </c>
    </row>
    <row r="54" spans="1:10" x14ac:dyDescent="0.35">
      <c r="A54" s="1">
        <v>52</v>
      </c>
      <c r="B54" s="8">
        <v>5.5E-2</v>
      </c>
      <c r="C54" s="8">
        <f>ROUNDUP(B54*'Multiplication factors'!$M$14,2)</f>
        <v>0.01</v>
      </c>
      <c r="D54" s="7">
        <f t="shared" si="0"/>
        <v>0.1</v>
      </c>
      <c r="E54" s="8">
        <v>0.86099999999999999</v>
      </c>
      <c r="F54" s="8">
        <f>ROUND(E54*'Multiplication factors'!$Q$14,2)</f>
        <v>1.84</v>
      </c>
      <c r="G54" s="7">
        <f t="shared" si="1"/>
        <v>4.5999999999999996</v>
      </c>
      <c r="H54" s="8">
        <v>1.7999999999999999E-2</v>
      </c>
      <c r="I54" s="8">
        <f>ROUND(H54*'Multiplication factors'!$U$14,2)</f>
        <v>0.78</v>
      </c>
      <c r="J54" s="7">
        <f t="shared" si="2"/>
        <v>9.75</v>
      </c>
    </row>
    <row r="55" spans="1:10" x14ac:dyDescent="0.35">
      <c r="A55" s="1">
        <v>53</v>
      </c>
      <c r="B55" s="8">
        <v>6.7000000000000004E-2</v>
      </c>
      <c r="C55" s="8">
        <f>ROUNDUP(B55*'Multiplication factors'!$M$14,2)</f>
        <v>0.01</v>
      </c>
      <c r="D55" s="7">
        <f t="shared" si="0"/>
        <v>0.1</v>
      </c>
      <c r="E55" s="8">
        <v>0.01</v>
      </c>
      <c r="F55" s="8">
        <f>ROUND(E55*'Multiplication factors'!$Q$14,2)</f>
        <v>0.02</v>
      </c>
      <c r="G55" s="7">
        <f t="shared" si="1"/>
        <v>0.05</v>
      </c>
      <c r="H55" s="8">
        <v>1.9E-2</v>
      </c>
      <c r="I55" s="8">
        <f>ROUND(H55*'Multiplication factors'!$U$14,2)</f>
        <v>0.82</v>
      </c>
      <c r="J55" s="7">
        <f t="shared" si="2"/>
        <v>10.25</v>
      </c>
    </row>
    <row r="56" spans="1:10" x14ac:dyDescent="0.35">
      <c r="A56" s="1">
        <v>54</v>
      </c>
      <c r="B56" s="8">
        <v>0.29899999999999999</v>
      </c>
      <c r="C56" s="8">
        <f>ROUNDUP(B56*'Multiplication factors'!$M$14,2)</f>
        <v>0.04</v>
      </c>
      <c r="D56" s="7">
        <f t="shared" si="0"/>
        <v>0.4</v>
      </c>
      <c r="E56" s="8">
        <v>0.01</v>
      </c>
      <c r="F56" s="8">
        <f>ROUND(E56*'Multiplication factors'!$Q$14,2)</f>
        <v>0.02</v>
      </c>
      <c r="G56" s="7">
        <f t="shared" si="1"/>
        <v>0.05</v>
      </c>
      <c r="H56" s="8">
        <v>2.4E-2</v>
      </c>
      <c r="I56" s="8">
        <f>ROUND(H56*'Multiplication factors'!$U$14,2)</f>
        <v>1.04</v>
      </c>
      <c r="J56" s="7">
        <f t="shared" si="2"/>
        <v>13</v>
      </c>
    </row>
    <row r="57" spans="1:10" x14ac:dyDescent="0.35">
      <c r="A57" s="1">
        <v>55</v>
      </c>
      <c r="B57" s="8">
        <v>0.17499999999999999</v>
      </c>
      <c r="C57" s="8">
        <f>ROUNDUP(B57*'Multiplication factors'!$M$14,2)</f>
        <v>0.03</v>
      </c>
      <c r="D57" s="7">
        <f t="shared" si="0"/>
        <v>0.3</v>
      </c>
      <c r="E57" s="8">
        <v>0.46800000000000003</v>
      </c>
      <c r="F57" s="8">
        <f>ROUND(E57*'Multiplication factors'!$Q$14,2)</f>
        <v>1</v>
      </c>
      <c r="G57" s="7">
        <f t="shared" si="1"/>
        <v>2.5</v>
      </c>
      <c r="H57" s="8">
        <v>2.5000000000000001E-2</v>
      </c>
      <c r="I57" s="8">
        <f>ROUND(H57*'Multiplication factors'!$U$14,2)</f>
        <v>1.08</v>
      </c>
      <c r="J57" s="7">
        <f t="shared" si="2"/>
        <v>13.5</v>
      </c>
    </row>
    <row r="58" spans="1:10" x14ac:dyDescent="0.35">
      <c r="A58" s="1">
        <v>56</v>
      </c>
      <c r="B58" s="8">
        <v>0.13300000000000001</v>
      </c>
      <c r="C58" s="8">
        <f>ROUNDUP(B58*'Multiplication factors'!$M$14,2)</f>
        <v>0.02</v>
      </c>
      <c r="D58" s="7">
        <f t="shared" si="0"/>
        <v>0.2</v>
      </c>
      <c r="E58" s="8">
        <v>0.14799999999999999</v>
      </c>
      <c r="F58" s="8">
        <f>ROUND(E58*'Multiplication factors'!$Q$14,2)</f>
        <v>0.32</v>
      </c>
      <c r="G58" s="7">
        <f t="shared" si="1"/>
        <v>0.8</v>
      </c>
      <c r="H58" s="8">
        <v>1.7000000000000001E-2</v>
      </c>
      <c r="I58" s="8">
        <f>ROUND(H58*'Multiplication factors'!$U$14,2)</f>
        <v>0.74</v>
      </c>
      <c r="J58" s="7">
        <f t="shared" si="2"/>
        <v>9.25</v>
      </c>
    </row>
    <row r="59" spans="1:10" x14ac:dyDescent="0.35">
      <c r="A59" s="1">
        <v>57</v>
      </c>
      <c r="B59" s="8">
        <v>0.122</v>
      </c>
      <c r="C59" s="8">
        <f>ROUNDUP(B59*'Multiplication factors'!$M$14,2)</f>
        <v>0.02</v>
      </c>
      <c r="D59" s="7">
        <f t="shared" si="0"/>
        <v>0.2</v>
      </c>
      <c r="E59" s="8">
        <v>0.501</v>
      </c>
      <c r="F59" s="8">
        <f>ROUND(E59*'Multiplication factors'!$Q$14,2)</f>
        <v>1.07</v>
      </c>
      <c r="G59" s="7">
        <f t="shared" si="1"/>
        <v>2.68</v>
      </c>
      <c r="H59" s="8">
        <v>2.5999999999999999E-2</v>
      </c>
      <c r="I59" s="8">
        <f>ROUND(H59*'Multiplication factors'!$U$14,2)</f>
        <v>1.1200000000000001</v>
      </c>
      <c r="J59" s="7">
        <f t="shared" si="2"/>
        <v>14</v>
      </c>
    </row>
    <row r="60" spans="1:10" x14ac:dyDescent="0.35">
      <c r="A60" s="1">
        <v>58</v>
      </c>
      <c r="B60" s="8">
        <v>0.151</v>
      </c>
      <c r="C60" s="8">
        <f>ROUNDUP(B60*'Multiplication factors'!$M$14,2)</f>
        <v>0.02</v>
      </c>
      <c r="D60" s="7">
        <f t="shared" si="0"/>
        <v>0.2</v>
      </c>
      <c r="E60" s="8">
        <v>0.27500000000000002</v>
      </c>
      <c r="F60" s="8">
        <f>ROUND(E60*'Multiplication factors'!$Q$14,2)</f>
        <v>0.59</v>
      </c>
      <c r="G60" s="7">
        <f t="shared" si="1"/>
        <v>1.48</v>
      </c>
      <c r="H60" s="8">
        <v>1.7999999999999999E-2</v>
      </c>
      <c r="I60" s="8">
        <f>ROUND(H60*'Multiplication factors'!$U$14,2)</f>
        <v>0.78</v>
      </c>
      <c r="J60" s="7">
        <f t="shared" si="2"/>
        <v>9.75</v>
      </c>
    </row>
    <row r="61" spans="1:10" x14ac:dyDescent="0.35">
      <c r="A61" s="1">
        <v>59</v>
      </c>
      <c r="B61" s="8">
        <v>7.9000000000000001E-2</v>
      </c>
      <c r="C61" s="8">
        <f>ROUNDUP(B61*'Multiplication factors'!$M$14,2)</f>
        <v>0.01</v>
      </c>
      <c r="D61" s="7">
        <f t="shared" si="0"/>
        <v>0.1</v>
      </c>
      <c r="E61" s="8">
        <v>0.48099999999999998</v>
      </c>
      <c r="F61" s="8">
        <f>ROUND(E61*'Multiplication factors'!$Q$14,2)</f>
        <v>1.03</v>
      </c>
      <c r="G61" s="7">
        <f t="shared" si="1"/>
        <v>2.58</v>
      </c>
      <c r="H61" s="8">
        <v>2.5000000000000001E-2</v>
      </c>
      <c r="I61" s="8">
        <f>ROUND(H61*'Multiplication factors'!$U$14,2)</f>
        <v>1.08</v>
      </c>
      <c r="J61" s="7">
        <f t="shared" si="2"/>
        <v>13.5</v>
      </c>
    </row>
    <row r="62" spans="1:10" x14ac:dyDescent="0.35">
      <c r="A62" s="1">
        <v>60</v>
      </c>
      <c r="B62" s="8">
        <v>0.05</v>
      </c>
      <c r="C62" s="8">
        <f>ROUNDUP(B62*'Multiplication factors'!$M$14,2)</f>
        <v>0.01</v>
      </c>
      <c r="D62" s="7">
        <f t="shared" si="0"/>
        <v>0.1</v>
      </c>
      <c r="E62" s="8">
        <v>0.78300000000000003</v>
      </c>
      <c r="F62" s="8">
        <f>ROUND(E62*'Multiplication factors'!$Q$14,2)</f>
        <v>1.67</v>
      </c>
      <c r="G62" s="7">
        <f t="shared" si="1"/>
        <v>4.18</v>
      </c>
      <c r="H62" s="8">
        <v>1.0999999999999999E-2</v>
      </c>
      <c r="I62" s="8">
        <f>ROUND(H62*'Multiplication factors'!$U$14,2)</f>
        <v>0.48</v>
      </c>
      <c r="J62" s="7">
        <f t="shared" si="2"/>
        <v>6</v>
      </c>
    </row>
    <row r="63" spans="1:10" x14ac:dyDescent="0.35">
      <c r="A63" s="1">
        <v>61</v>
      </c>
      <c r="B63" s="8">
        <v>4.2000000000000003E-2</v>
      </c>
      <c r="C63" s="8">
        <f>ROUNDUP(B63*'Multiplication factors'!$M$14,2)</f>
        <v>0.01</v>
      </c>
      <c r="D63" s="7">
        <f t="shared" si="0"/>
        <v>0.1</v>
      </c>
      <c r="E63" s="8">
        <v>0.66100000000000003</v>
      </c>
      <c r="F63" s="8">
        <f>ROUND(E63*'Multiplication factors'!$Q$14,2)</f>
        <v>1.41</v>
      </c>
      <c r="G63" s="7">
        <f t="shared" si="1"/>
        <v>3.53</v>
      </c>
      <c r="H63" s="8">
        <v>2.4E-2</v>
      </c>
      <c r="I63" s="8">
        <f>ROUND(H63*'Multiplication factors'!$U$14,2)</f>
        <v>1.04</v>
      </c>
      <c r="J63" s="7">
        <f t="shared" si="2"/>
        <v>13</v>
      </c>
    </row>
    <row r="64" spans="1:10" x14ac:dyDescent="0.35">
      <c r="A64" s="1">
        <v>62</v>
      </c>
      <c r="B64" s="8">
        <v>6.9000000000000006E-2</v>
      </c>
      <c r="C64" s="8">
        <f>ROUNDUP(B64*'Multiplication factors'!$M$14,2)</f>
        <v>0.01</v>
      </c>
      <c r="D64" s="7">
        <f t="shared" si="0"/>
        <v>0.1</v>
      </c>
      <c r="E64" s="8">
        <v>0.72699999999999998</v>
      </c>
      <c r="F64" s="8">
        <f>ROUND(E64*'Multiplication factors'!$Q$14,2)</f>
        <v>1.55</v>
      </c>
      <c r="G64" s="7">
        <f t="shared" si="1"/>
        <v>3.88</v>
      </c>
      <c r="H64" s="8">
        <v>1.7999999999999999E-2</v>
      </c>
      <c r="I64" s="8">
        <f>ROUND(H64*'Multiplication factors'!$U$14,2)</f>
        <v>0.78</v>
      </c>
      <c r="J64" s="7">
        <f t="shared" si="2"/>
        <v>9.75</v>
      </c>
    </row>
    <row r="65" spans="1:10" x14ac:dyDescent="0.35">
      <c r="A65" s="1">
        <v>63</v>
      </c>
      <c r="B65" s="8">
        <v>6.8000000000000005E-2</v>
      </c>
      <c r="C65" s="8">
        <f>ROUNDUP(B65*'Multiplication factors'!$M$14,2)</f>
        <v>0.01</v>
      </c>
      <c r="D65" s="7">
        <f t="shared" si="0"/>
        <v>0.1</v>
      </c>
      <c r="E65" s="8">
        <v>0.25900000000000001</v>
      </c>
      <c r="F65" s="8">
        <f>ROUND(E65*'Multiplication factors'!$Q$14,2)</f>
        <v>0.55000000000000004</v>
      </c>
      <c r="G65" s="7">
        <f t="shared" si="1"/>
        <v>1.38</v>
      </c>
      <c r="H65" s="8">
        <v>1.9E-2</v>
      </c>
      <c r="I65" s="8">
        <f>ROUND(H65*'Multiplication factors'!$U$14,2)</f>
        <v>0.82</v>
      </c>
      <c r="J65" s="7">
        <f t="shared" si="2"/>
        <v>10.25</v>
      </c>
    </row>
    <row r="66" spans="1:10" x14ac:dyDescent="0.35">
      <c r="A66" s="1">
        <v>64</v>
      </c>
      <c r="B66" s="8">
        <v>6.0999999999999999E-2</v>
      </c>
      <c r="C66" s="8">
        <f>ROUNDUP(B66*'Multiplication factors'!$M$14,2)</f>
        <v>0.01</v>
      </c>
      <c r="D66" s="7">
        <f t="shared" si="0"/>
        <v>0.1</v>
      </c>
      <c r="E66" s="8">
        <v>0.79</v>
      </c>
      <c r="F66" s="8">
        <f>ROUND(E66*'Multiplication factors'!$Q$14,2)</f>
        <v>1.69</v>
      </c>
      <c r="G66" s="7">
        <f t="shared" si="1"/>
        <v>4.2300000000000004</v>
      </c>
      <c r="H66" s="8">
        <v>1.7999999999999999E-2</v>
      </c>
      <c r="I66" s="8">
        <f>ROUND(H66*'Multiplication factors'!$U$14,2)</f>
        <v>0.78</v>
      </c>
      <c r="J66" s="7">
        <f t="shared" si="2"/>
        <v>9.75</v>
      </c>
    </row>
    <row r="67" spans="1:10" x14ac:dyDescent="0.35">
      <c r="A67" s="1">
        <v>65</v>
      </c>
      <c r="B67" s="8">
        <v>7.4999999999999997E-2</v>
      </c>
      <c r="C67" s="8">
        <f>ROUNDUP(B67*'Multiplication factors'!$M$14,2)</f>
        <v>0.01</v>
      </c>
      <c r="D67" s="7">
        <f t="shared" si="0"/>
        <v>0.1</v>
      </c>
      <c r="E67" s="8">
        <v>0.46300000000000002</v>
      </c>
      <c r="F67" s="8">
        <f>ROUND(E67*'Multiplication factors'!$Q$14,2)</f>
        <v>0.99</v>
      </c>
      <c r="G67" s="7">
        <f t="shared" si="1"/>
        <v>2.48</v>
      </c>
      <c r="H67" s="8">
        <v>1.7999999999999999E-2</v>
      </c>
      <c r="I67" s="8">
        <f>ROUND(H67*'Multiplication factors'!$U$14,2)</f>
        <v>0.78</v>
      </c>
      <c r="J67" s="7">
        <f t="shared" si="2"/>
        <v>9.75</v>
      </c>
    </row>
    <row r="68" spans="1:10" x14ac:dyDescent="0.35">
      <c r="A68" s="1">
        <v>66</v>
      </c>
      <c r="B68" s="8">
        <v>0.627</v>
      </c>
      <c r="C68" s="8">
        <f>ROUNDUP(B68*'Multiplication factors'!$M$14,2)</f>
        <v>0.08</v>
      </c>
      <c r="D68" s="7">
        <f t="shared" ref="D68:D127" si="3">IF(B68="","",C68*10)</f>
        <v>0.8</v>
      </c>
      <c r="E68" s="8">
        <v>0.314</v>
      </c>
      <c r="F68" s="8">
        <f>ROUND(E68*'Multiplication factors'!$Q$14,2)</f>
        <v>0.67</v>
      </c>
      <c r="G68" s="7">
        <f t="shared" ref="G68:G127" si="4">ROUND(F68*2.5,2)</f>
        <v>1.68</v>
      </c>
      <c r="H68" s="8">
        <v>1.6E-2</v>
      </c>
      <c r="I68" s="8">
        <f>ROUND(H68*'Multiplication factors'!$U$14,2)</f>
        <v>0.69</v>
      </c>
      <c r="J68" s="7">
        <f t="shared" ref="J68:J127" si="5">ROUND(I68*12.5,2)</f>
        <v>8.6300000000000008</v>
      </c>
    </row>
    <row r="69" spans="1:10" x14ac:dyDescent="0.35">
      <c r="A69" s="1">
        <v>67</v>
      </c>
      <c r="B69" s="8">
        <v>0.09</v>
      </c>
      <c r="C69" s="8">
        <f>ROUNDUP(B69*'Multiplication factors'!$M$14,2)</f>
        <v>0.02</v>
      </c>
      <c r="D69" s="7">
        <f t="shared" si="3"/>
        <v>0.2</v>
      </c>
      <c r="E69" s="8">
        <v>0.45100000000000001</v>
      </c>
      <c r="F69" s="8">
        <f>ROUND(E69*'Multiplication factors'!$Q$14,2)</f>
        <v>0.96</v>
      </c>
      <c r="G69" s="7">
        <f t="shared" si="4"/>
        <v>2.4</v>
      </c>
      <c r="H69" s="8">
        <v>1.6E-2</v>
      </c>
      <c r="I69" s="8">
        <f>ROUND(H69*'Multiplication factors'!$U$14,2)</f>
        <v>0.69</v>
      </c>
      <c r="J69" s="7">
        <f t="shared" si="5"/>
        <v>8.6300000000000008</v>
      </c>
    </row>
    <row r="70" spans="1:10" x14ac:dyDescent="0.35">
      <c r="A70" s="1">
        <v>68</v>
      </c>
      <c r="B70" s="8">
        <v>9.8000000000000004E-2</v>
      </c>
      <c r="C70" s="8">
        <f>ROUNDUP(B70*'Multiplication factors'!$M$14,2)</f>
        <v>0.02</v>
      </c>
      <c r="D70" s="7">
        <f t="shared" si="3"/>
        <v>0.2</v>
      </c>
      <c r="E70" s="8">
        <v>0.438</v>
      </c>
      <c r="F70" s="8">
        <f>ROUND(E70*'Multiplication factors'!$Q$14,2)</f>
        <v>0.94</v>
      </c>
      <c r="G70" s="7">
        <f t="shared" si="4"/>
        <v>2.35</v>
      </c>
      <c r="H70" s="8">
        <v>1.6E-2</v>
      </c>
      <c r="I70" s="8">
        <f>ROUND(H70*'Multiplication factors'!$U$14,2)</f>
        <v>0.69</v>
      </c>
      <c r="J70" s="7">
        <f t="shared" si="5"/>
        <v>8.6300000000000008</v>
      </c>
    </row>
    <row r="71" spans="1:10" x14ac:dyDescent="0.35">
      <c r="A71" s="1">
        <v>69</v>
      </c>
      <c r="B71" s="8">
        <v>7.1999999999999995E-2</v>
      </c>
      <c r="C71" s="8">
        <f>ROUNDUP(B71*'Multiplication factors'!$M$14,2)</f>
        <v>0.01</v>
      </c>
      <c r="D71" s="7">
        <f t="shared" si="3"/>
        <v>0.1</v>
      </c>
      <c r="E71" s="8">
        <v>0.26100000000000001</v>
      </c>
      <c r="F71" s="8">
        <f>ROUND(E71*'Multiplication factors'!$Q$14,2)</f>
        <v>0.56000000000000005</v>
      </c>
      <c r="G71" s="7">
        <f t="shared" si="4"/>
        <v>1.4</v>
      </c>
      <c r="H71" s="8">
        <v>1.6E-2</v>
      </c>
      <c r="I71" s="8">
        <f>ROUND(H71*'Multiplication factors'!$U$14,2)</f>
        <v>0.69</v>
      </c>
      <c r="J71" s="7">
        <f t="shared" si="5"/>
        <v>8.6300000000000008</v>
      </c>
    </row>
    <row r="72" spans="1:10" x14ac:dyDescent="0.35">
      <c r="A72" s="1">
        <v>70</v>
      </c>
      <c r="B72" s="8">
        <v>5.0999999999999997E-2</v>
      </c>
      <c r="C72" s="8">
        <f>ROUNDUP(B72*'Multiplication factors'!$M$14,2)</f>
        <v>0.01</v>
      </c>
      <c r="D72" s="7">
        <f t="shared" si="3"/>
        <v>0.1</v>
      </c>
      <c r="E72" s="8">
        <v>0.69599999999999995</v>
      </c>
      <c r="F72" s="8">
        <f>ROUND(E72*'Multiplication factors'!$Q$14,2)</f>
        <v>1.49</v>
      </c>
      <c r="G72" s="7">
        <f t="shared" si="4"/>
        <v>3.73</v>
      </c>
      <c r="H72" s="8">
        <v>1.7000000000000001E-2</v>
      </c>
      <c r="I72" s="8">
        <f>ROUND(H72*'Multiplication factors'!$U$14,2)</f>
        <v>0.74</v>
      </c>
      <c r="J72" s="7">
        <f t="shared" si="5"/>
        <v>9.25</v>
      </c>
    </row>
    <row r="73" spans="1:10" x14ac:dyDescent="0.35">
      <c r="A73" s="1">
        <v>71</v>
      </c>
      <c r="B73" s="8">
        <v>4.4999999999999998E-2</v>
      </c>
      <c r="C73" s="8">
        <f>ROUNDUP(B73*'Multiplication factors'!$M$14,2)</f>
        <v>0.01</v>
      </c>
      <c r="D73" s="7">
        <f t="shared" si="3"/>
        <v>0.1</v>
      </c>
      <c r="E73" s="8">
        <v>0.32200000000000001</v>
      </c>
      <c r="F73" s="8">
        <f>ROUND(E73*'Multiplication factors'!$Q$14,2)</f>
        <v>0.69</v>
      </c>
      <c r="G73" s="7">
        <f t="shared" si="4"/>
        <v>1.73</v>
      </c>
      <c r="H73" s="8">
        <v>1.9E-2</v>
      </c>
      <c r="I73" s="8">
        <f>ROUND(H73*'Multiplication factors'!$U$14,2)</f>
        <v>0.82</v>
      </c>
      <c r="J73" s="7">
        <f t="shared" si="5"/>
        <v>10.25</v>
      </c>
    </row>
    <row r="74" spans="1:10" x14ac:dyDescent="0.35">
      <c r="A74" s="1">
        <v>72</v>
      </c>
      <c r="B74" s="8">
        <v>0.33900000000000002</v>
      </c>
      <c r="C74" s="8">
        <f>ROUNDUP(B74*'Multiplication factors'!$M$14,2)</f>
        <v>0.05</v>
      </c>
      <c r="D74" s="7">
        <f t="shared" si="3"/>
        <v>0.5</v>
      </c>
      <c r="E74" s="8">
        <v>0.26600000000000001</v>
      </c>
      <c r="F74" s="8">
        <f>ROUND(E74*'Multiplication factors'!$Q$14,2)</f>
        <v>0.56999999999999995</v>
      </c>
      <c r="G74" s="7">
        <f t="shared" si="4"/>
        <v>1.43</v>
      </c>
      <c r="H74" s="8">
        <v>2.4E-2</v>
      </c>
      <c r="I74" s="8">
        <f>ROUND(H74*'Multiplication factors'!$U$14,2)</f>
        <v>1.04</v>
      </c>
      <c r="J74" s="7">
        <f t="shared" si="5"/>
        <v>13</v>
      </c>
    </row>
    <row r="75" spans="1:10" x14ac:dyDescent="0.35">
      <c r="A75" s="1">
        <v>73</v>
      </c>
      <c r="B75" s="8">
        <v>0.123</v>
      </c>
      <c r="C75" s="8">
        <f>ROUNDUP(B75*'Multiplication factors'!$M$14,2)</f>
        <v>0.02</v>
      </c>
      <c r="D75" s="7">
        <f t="shared" si="3"/>
        <v>0.2</v>
      </c>
      <c r="E75" s="8">
        <v>0.13800000000000001</v>
      </c>
      <c r="F75" s="8">
        <f>ROUND(E75*'Multiplication factors'!$Q$14,2)</f>
        <v>0.3</v>
      </c>
      <c r="G75" s="7">
        <f t="shared" si="4"/>
        <v>0.75</v>
      </c>
      <c r="H75" s="8">
        <v>2.1999999999999999E-2</v>
      </c>
      <c r="I75" s="8">
        <f>ROUND(H75*'Multiplication factors'!$U$14,2)</f>
        <v>0.95</v>
      </c>
      <c r="J75" s="7">
        <f t="shared" si="5"/>
        <v>11.88</v>
      </c>
    </row>
    <row r="76" spans="1:10" x14ac:dyDescent="0.35">
      <c r="A76" s="1">
        <v>74</v>
      </c>
      <c r="B76" s="8">
        <v>0.08</v>
      </c>
      <c r="C76" s="8">
        <f>ROUNDUP(B76*'Multiplication factors'!$M$14,2)</f>
        <v>0.01</v>
      </c>
      <c r="D76" s="7">
        <f t="shared" si="3"/>
        <v>0.1</v>
      </c>
      <c r="E76" s="8">
        <v>0.42699999999999999</v>
      </c>
      <c r="F76" s="8">
        <f>ROUND(E76*'Multiplication factors'!$Q$14,2)</f>
        <v>0.91</v>
      </c>
      <c r="G76" s="7">
        <f t="shared" si="4"/>
        <v>2.2799999999999998</v>
      </c>
      <c r="H76" s="8">
        <v>2.1000000000000001E-2</v>
      </c>
      <c r="I76" s="8">
        <f>ROUND(H76*'Multiplication factors'!$U$14,2)</f>
        <v>0.91</v>
      </c>
      <c r="J76" s="7">
        <f t="shared" si="5"/>
        <v>11.38</v>
      </c>
    </row>
    <row r="77" spans="1:10" x14ac:dyDescent="0.35">
      <c r="A77" s="1">
        <v>75</v>
      </c>
      <c r="B77" s="8">
        <v>5.8000000000000003E-2</v>
      </c>
      <c r="C77" s="8">
        <f>ROUNDUP(B77*'Multiplication factors'!$M$14,2)</f>
        <v>0.01</v>
      </c>
      <c r="D77" s="7">
        <f t="shared" si="3"/>
        <v>0.1</v>
      </c>
      <c r="E77" s="8">
        <v>0.45900000000000002</v>
      </c>
      <c r="F77" s="8">
        <f>ROUND(E77*'Multiplication factors'!$Q$14,2)</f>
        <v>0.98</v>
      </c>
      <c r="G77" s="7">
        <f t="shared" si="4"/>
        <v>2.4500000000000002</v>
      </c>
      <c r="H77" s="8">
        <v>8.0000000000000002E-3</v>
      </c>
      <c r="I77" s="8">
        <f>ROUND(H77*'Multiplication factors'!$U$14,2)</f>
        <v>0.35</v>
      </c>
      <c r="J77" s="7">
        <f t="shared" si="5"/>
        <v>4.38</v>
      </c>
    </row>
    <row r="78" spans="1:10" x14ac:dyDescent="0.35">
      <c r="A78" s="1">
        <v>76</v>
      </c>
      <c r="B78" s="8">
        <v>0.10299999999999999</v>
      </c>
      <c r="C78" s="8">
        <f>ROUNDUP(B78*'Multiplication factors'!$M$14,2)</f>
        <v>0.02</v>
      </c>
      <c r="D78" s="7">
        <f t="shared" si="3"/>
        <v>0.2</v>
      </c>
      <c r="E78" s="8">
        <v>0.247</v>
      </c>
      <c r="F78" s="8">
        <f>ROUND(E78*'Multiplication factors'!$Q$14,2)</f>
        <v>0.53</v>
      </c>
      <c r="G78" s="7">
        <f t="shared" si="4"/>
        <v>1.33</v>
      </c>
      <c r="H78" s="8">
        <v>1.4999999999999999E-2</v>
      </c>
      <c r="I78" s="8">
        <f>ROUND(H78*'Multiplication factors'!$U$14,2)</f>
        <v>0.65</v>
      </c>
      <c r="J78" s="7">
        <f t="shared" si="5"/>
        <v>8.1300000000000008</v>
      </c>
    </row>
    <row r="79" spans="1:10" x14ac:dyDescent="0.35">
      <c r="A79" s="1">
        <v>77</v>
      </c>
      <c r="B79" s="8">
        <v>8.2000000000000003E-2</v>
      </c>
      <c r="C79" s="8">
        <f>ROUNDUP(B79*'Multiplication factors'!$M$14,2)</f>
        <v>0.02</v>
      </c>
      <c r="D79" s="7">
        <f t="shared" si="3"/>
        <v>0.2</v>
      </c>
      <c r="E79" s="8">
        <v>0.48399999999999999</v>
      </c>
      <c r="F79" s="8">
        <f>ROUND(E79*'Multiplication factors'!$Q$14,2)</f>
        <v>1.04</v>
      </c>
      <c r="G79" s="7">
        <f t="shared" si="4"/>
        <v>2.6</v>
      </c>
      <c r="H79" s="8">
        <v>1.2E-2</v>
      </c>
      <c r="I79" s="8">
        <f>ROUND(H79*'Multiplication factors'!$U$14,2)</f>
        <v>0.52</v>
      </c>
      <c r="J79" s="7">
        <f t="shared" si="5"/>
        <v>6.5</v>
      </c>
    </row>
    <row r="80" spans="1:10" x14ac:dyDescent="0.35">
      <c r="A80" s="1">
        <v>78</v>
      </c>
      <c r="B80" s="8">
        <v>0.32200000000000001</v>
      </c>
      <c r="C80" s="8">
        <f>ROUNDUP(B80*'Multiplication factors'!$M$14,2)</f>
        <v>0.05</v>
      </c>
      <c r="D80" s="7">
        <f t="shared" si="3"/>
        <v>0.5</v>
      </c>
      <c r="E80" s="8">
        <v>0.25</v>
      </c>
      <c r="F80" s="8">
        <f>ROUND(E80*'Multiplication factors'!$Q$14,2)</f>
        <v>0.53</v>
      </c>
      <c r="G80" s="7">
        <f t="shared" si="4"/>
        <v>1.33</v>
      </c>
      <c r="H80" s="8">
        <v>1.4E-2</v>
      </c>
      <c r="I80" s="8">
        <f>ROUND(H80*'Multiplication factors'!$U$14,2)</f>
        <v>0.61</v>
      </c>
      <c r="J80" s="7">
        <f t="shared" si="5"/>
        <v>7.63</v>
      </c>
    </row>
    <row r="81" spans="1:10" x14ac:dyDescent="0.35">
      <c r="A81" s="1">
        <v>79</v>
      </c>
      <c r="B81" s="8">
        <v>0.52600000000000002</v>
      </c>
      <c r="C81" s="8">
        <f>ROUNDUP(B81*'Multiplication factors'!$M$14,2)</f>
        <v>6.9999999999999993E-2</v>
      </c>
      <c r="D81" s="7">
        <f t="shared" si="3"/>
        <v>0.7</v>
      </c>
      <c r="E81" s="8">
        <v>0.26500000000000001</v>
      </c>
      <c r="F81" s="8">
        <f>ROUND(E81*'Multiplication factors'!$Q$14,2)</f>
        <v>0.56999999999999995</v>
      </c>
      <c r="G81" s="7">
        <f t="shared" si="4"/>
        <v>1.43</v>
      </c>
      <c r="H81" s="8">
        <v>1.9E-2</v>
      </c>
      <c r="I81" s="8">
        <f>ROUND(H81*'Multiplication factors'!$U$14,2)</f>
        <v>0.82</v>
      </c>
      <c r="J81" s="7">
        <f t="shared" si="5"/>
        <v>10.25</v>
      </c>
    </row>
    <row r="82" spans="1:10" x14ac:dyDescent="0.35">
      <c r="A82" s="1">
        <v>80</v>
      </c>
      <c r="B82" s="8">
        <v>8.7999999999999995E-2</v>
      </c>
      <c r="C82" s="8">
        <f>ROUNDUP(B82*'Multiplication factors'!$M$14,2)</f>
        <v>0.02</v>
      </c>
      <c r="D82" s="7">
        <f t="shared" si="3"/>
        <v>0.2</v>
      </c>
      <c r="E82" s="8">
        <v>0.496</v>
      </c>
      <c r="F82" s="8">
        <f>ROUND(E82*'Multiplication factors'!$Q$14,2)</f>
        <v>1.06</v>
      </c>
      <c r="G82" s="7">
        <f t="shared" si="4"/>
        <v>2.65</v>
      </c>
      <c r="H82" s="8">
        <v>2.3E-2</v>
      </c>
      <c r="I82" s="8">
        <f>ROUND(H82*'Multiplication factors'!$U$14,2)</f>
        <v>0.99</v>
      </c>
      <c r="J82" s="7">
        <f t="shared" si="5"/>
        <v>12.38</v>
      </c>
    </row>
    <row r="83" spans="1:10" x14ac:dyDescent="0.35">
      <c r="A83" s="1">
        <v>81</v>
      </c>
      <c r="B83" s="8">
        <v>4.2999999999999997E-2</v>
      </c>
      <c r="C83" s="8">
        <f>ROUNDUP(B83*'Multiplication factors'!$M$14,2)</f>
        <v>0.01</v>
      </c>
      <c r="D83" s="7">
        <f t="shared" si="3"/>
        <v>0.1</v>
      </c>
      <c r="E83" s="8">
        <v>0.56100000000000005</v>
      </c>
      <c r="F83" s="8">
        <f>ROUND(E83*'Multiplication factors'!$Q$14,2)</f>
        <v>1.2</v>
      </c>
      <c r="G83" s="7">
        <f t="shared" si="4"/>
        <v>3</v>
      </c>
      <c r="H83" s="8">
        <v>2.4E-2</v>
      </c>
      <c r="I83" s="8">
        <f>ROUND(H83*'Multiplication factors'!$U$14,2)</f>
        <v>1.04</v>
      </c>
      <c r="J83" s="7">
        <f t="shared" si="5"/>
        <v>13</v>
      </c>
    </row>
    <row r="84" spans="1:10" x14ac:dyDescent="0.35">
      <c r="A84" s="1">
        <v>82</v>
      </c>
      <c r="B84" s="8">
        <v>0.19500000000000001</v>
      </c>
      <c r="C84" s="8">
        <f>ROUNDUP(B84*'Multiplication factors'!$M$14,2)</f>
        <v>0.03</v>
      </c>
      <c r="D84" s="7">
        <f t="shared" si="3"/>
        <v>0.3</v>
      </c>
      <c r="E84" s="8">
        <v>0.439</v>
      </c>
      <c r="F84" s="8">
        <f>ROUND(E84*'Multiplication factors'!$Q$14,2)</f>
        <v>0.94</v>
      </c>
      <c r="G84" s="7">
        <f t="shared" si="4"/>
        <v>2.35</v>
      </c>
      <c r="H84" s="8">
        <v>8.9999999999999993E-3</v>
      </c>
      <c r="I84" s="8">
        <f>ROUND(H84*'Multiplication factors'!$U$14,2)</f>
        <v>0.39</v>
      </c>
      <c r="J84" s="7">
        <f t="shared" si="5"/>
        <v>4.88</v>
      </c>
    </row>
    <row r="85" spans="1:10" x14ac:dyDescent="0.35">
      <c r="A85" s="1">
        <v>83</v>
      </c>
      <c r="B85" s="8">
        <v>0.16900000000000001</v>
      </c>
      <c r="C85" s="8">
        <f>ROUNDUP(B85*'Multiplication factors'!$M$14,2)</f>
        <v>0.03</v>
      </c>
      <c r="D85" s="7">
        <f t="shared" si="3"/>
        <v>0.3</v>
      </c>
      <c r="E85" s="8">
        <v>0.19400000000000001</v>
      </c>
      <c r="F85" s="8">
        <f>ROUND(E85*'Multiplication factors'!$Q$14,2)</f>
        <v>0.41</v>
      </c>
      <c r="G85" s="7">
        <f t="shared" si="4"/>
        <v>1.03</v>
      </c>
      <c r="H85" s="8">
        <v>0.01</v>
      </c>
      <c r="I85" s="8">
        <f>ROUND(H85*'Multiplication factors'!$U$14,2)</f>
        <v>0.43</v>
      </c>
      <c r="J85" s="7">
        <f t="shared" si="5"/>
        <v>5.38</v>
      </c>
    </row>
    <row r="86" spans="1:10" x14ac:dyDescent="0.35">
      <c r="A86" s="1">
        <v>84</v>
      </c>
      <c r="B86" s="8">
        <v>0.33300000000000002</v>
      </c>
      <c r="C86" s="8">
        <f>ROUNDUP(B86*'Multiplication factors'!$M$14,2)</f>
        <v>0.05</v>
      </c>
      <c r="D86" s="7">
        <f t="shared" si="3"/>
        <v>0.5</v>
      </c>
      <c r="E86" s="8">
        <v>0.46200000000000002</v>
      </c>
      <c r="F86" s="8">
        <f>ROUND(E86*'Multiplication factors'!$Q$14,2)</f>
        <v>0.99</v>
      </c>
      <c r="G86" s="7">
        <f t="shared" si="4"/>
        <v>2.48</v>
      </c>
      <c r="H86" s="8">
        <v>1.0999999999999999E-2</v>
      </c>
      <c r="I86" s="8">
        <f>ROUND(H86*'Multiplication factors'!$U$14,2)</f>
        <v>0.48</v>
      </c>
      <c r="J86" s="7">
        <f t="shared" si="5"/>
        <v>6</v>
      </c>
    </row>
    <row r="87" spans="1:10" x14ac:dyDescent="0.35">
      <c r="A87" s="1">
        <v>85</v>
      </c>
      <c r="B87" s="8">
        <v>0.22900000000000001</v>
      </c>
      <c r="C87" s="8">
        <f>ROUNDUP(B87*'Multiplication factors'!$M$14,2)</f>
        <v>0.03</v>
      </c>
      <c r="D87" s="7">
        <f t="shared" si="3"/>
        <v>0.3</v>
      </c>
      <c r="E87" s="8">
        <v>0.27900000000000003</v>
      </c>
      <c r="F87" s="8">
        <f>ROUND(E87*'Multiplication factors'!$Q$14,2)</f>
        <v>0.6</v>
      </c>
      <c r="G87" s="7">
        <f t="shared" si="4"/>
        <v>1.5</v>
      </c>
      <c r="H87" s="8">
        <v>1.4999999999999999E-2</v>
      </c>
      <c r="I87" s="8">
        <f>ROUND(H87*'Multiplication factors'!$U$14,2)</f>
        <v>0.65</v>
      </c>
      <c r="J87" s="7">
        <f t="shared" si="5"/>
        <v>8.1300000000000008</v>
      </c>
    </row>
    <row r="88" spans="1:10" x14ac:dyDescent="0.35">
      <c r="A88" s="1">
        <v>86</v>
      </c>
      <c r="B88" s="8">
        <v>7.6999999999999999E-2</v>
      </c>
      <c r="C88" s="8">
        <f>ROUNDUP(B88*'Multiplication factors'!$M$14,2)</f>
        <v>0.01</v>
      </c>
      <c r="D88" s="7">
        <f t="shared" si="3"/>
        <v>0.1</v>
      </c>
      <c r="E88" s="8">
        <v>0.46400000000000002</v>
      </c>
      <c r="F88" s="8">
        <f>ROUND(E88*'Multiplication factors'!$Q$14,2)</f>
        <v>0.99</v>
      </c>
      <c r="G88" s="7">
        <f t="shared" si="4"/>
        <v>2.48</v>
      </c>
      <c r="H88" s="8">
        <v>2E-3</v>
      </c>
      <c r="I88" s="8">
        <f>ROUND(H88*'Multiplication factors'!$U$14,2)</f>
        <v>0.09</v>
      </c>
      <c r="J88" s="7">
        <f t="shared" si="5"/>
        <v>1.1299999999999999</v>
      </c>
    </row>
    <row r="89" spans="1:10" x14ac:dyDescent="0.35">
      <c r="A89" s="1">
        <v>87</v>
      </c>
      <c r="B89" s="8">
        <v>5.8000000000000003E-2</v>
      </c>
      <c r="C89" s="8">
        <f>ROUNDUP(B89*'Multiplication factors'!$M$14,2)</f>
        <v>0.01</v>
      </c>
      <c r="D89" s="7">
        <f t="shared" si="3"/>
        <v>0.1</v>
      </c>
      <c r="E89" s="8">
        <v>0.52400000000000002</v>
      </c>
      <c r="F89" s="8">
        <f>ROUND(E89*'Multiplication factors'!$Q$14,2)</f>
        <v>1.1200000000000001</v>
      </c>
      <c r="G89" s="7">
        <f t="shared" si="4"/>
        <v>2.8</v>
      </c>
      <c r="H89" s="8">
        <v>8.0000000000000002E-3</v>
      </c>
      <c r="I89" s="8">
        <f>ROUND(H89*'Multiplication factors'!$U$14,2)</f>
        <v>0.35</v>
      </c>
      <c r="J89" s="7">
        <f t="shared" si="5"/>
        <v>4.38</v>
      </c>
    </row>
    <row r="90" spans="1:10" x14ac:dyDescent="0.35">
      <c r="A90" s="1">
        <v>88</v>
      </c>
      <c r="B90" s="8">
        <v>4.4999999999999998E-2</v>
      </c>
      <c r="C90" s="8">
        <f>ROUNDUP(B90*'Multiplication factors'!$M$14,2)</f>
        <v>0.01</v>
      </c>
      <c r="D90" s="7">
        <f t="shared" si="3"/>
        <v>0.1</v>
      </c>
      <c r="E90" s="8">
        <v>0.39700000000000002</v>
      </c>
      <c r="F90" s="8">
        <f>ROUND(E90*'Multiplication factors'!$Q$14,2)</f>
        <v>0.85</v>
      </c>
      <c r="G90" s="7">
        <f t="shared" si="4"/>
        <v>2.13</v>
      </c>
      <c r="H90" s="8">
        <v>2.4E-2</v>
      </c>
      <c r="I90" s="8">
        <f>ROUND(H90*'Multiplication factors'!$U$14,2)</f>
        <v>1.04</v>
      </c>
      <c r="J90" s="7">
        <f t="shared" si="5"/>
        <v>13</v>
      </c>
    </row>
    <row r="91" spans="1:10" x14ac:dyDescent="0.35">
      <c r="A91" s="1">
        <v>89</v>
      </c>
      <c r="B91" s="8">
        <v>3.2000000000000001E-2</v>
      </c>
      <c r="C91" s="8">
        <f>ROUNDUP(B91*'Multiplication factors'!$M$14,2)</f>
        <v>0.01</v>
      </c>
      <c r="D91" s="7">
        <f t="shared" si="3"/>
        <v>0.1</v>
      </c>
      <c r="E91" s="8">
        <v>0.56899999999999995</v>
      </c>
      <c r="F91" s="8">
        <f>ROUND(E91*'Multiplication factors'!$Q$14,2)</f>
        <v>1.22</v>
      </c>
      <c r="G91" s="7">
        <f t="shared" si="4"/>
        <v>3.05</v>
      </c>
      <c r="H91" s="8">
        <v>1.6E-2</v>
      </c>
      <c r="I91" s="8">
        <f>ROUND(H91*'Multiplication factors'!$U$14,2)</f>
        <v>0.69</v>
      </c>
      <c r="J91" s="7">
        <f t="shared" si="5"/>
        <v>8.6300000000000008</v>
      </c>
    </row>
    <row r="92" spans="1:10" x14ac:dyDescent="0.35">
      <c r="A92" s="1">
        <v>90</v>
      </c>
      <c r="B92" s="8">
        <v>2.7E-2</v>
      </c>
      <c r="C92" s="8">
        <f>ROUNDUP(B92*'Multiplication factors'!$M$14,2)</f>
        <v>0.01</v>
      </c>
      <c r="D92" s="7">
        <f t="shared" si="3"/>
        <v>0.1</v>
      </c>
      <c r="E92" s="8">
        <v>0.41599999999999998</v>
      </c>
      <c r="F92" s="8">
        <f>ROUND(E92*'Multiplication factors'!$Q$14,2)</f>
        <v>0.89</v>
      </c>
      <c r="G92" s="7">
        <f t="shared" si="4"/>
        <v>2.23</v>
      </c>
      <c r="H92" s="8">
        <v>1.7999999999999999E-2</v>
      </c>
      <c r="I92" s="8">
        <f>ROUND(H92*'Multiplication factors'!$U$14,2)</f>
        <v>0.78</v>
      </c>
      <c r="J92" s="7">
        <f t="shared" si="5"/>
        <v>9.75</v>
      </c>
    </row>
    <row r="93" spans="1:10" x14ac:dyDescent="0.35">
      <c r="A93" s="1">
        <v>91</v>
      </c>
      <c r="B93" s="8">
        <v>3.3000000000000002E-2</v>
      </c>
      <c r="C93" s="8">
        <f>ROUNDUP(B93*'Multiplication factors'!$M$14,2)</f>
        <v>0.01</v>
      </c>
      <c r="D93" s="7">
        <f t="shared" si="3"/>
        <v>0.1</v>
      </c>
      <c r="E93" s="8">
        <v>0.38400000000000001</v>
      </c>
      <c r="F93" s="8">
        <f>ROUND(E93*'Multiplication factors'!$Q$14,2)</f>
        <v>0.82</v>
      </c>
      <c r="G93" s="7">
        <f t="shared" si="4"/>
        <v>2.0499999999999998</v>
      </c>
      <c r="H93" s="8">
        <v>2.5000000000000001E-2</v>
      </c>
      <c r="I93" s="8">
        <f>ROUND(H93*'Multiplication factors'!$U$14,2)</f>
        <v>1.08</v>
      </c>
      <c r="J93" s="7">
        <f t="shared" si="5"/>
        <v>13.5</v>
      </c>
    </row>
    <row r="94" spans="1:10" x14ac:dyDescent="0.35">
      <c r="A94" s="1">
        <v>92</v>
      </c>
      <c r="B94" s="8">
        <v>4.3999999999999997E-2</v>
      </c>
      <c r="C94" s="8">
        <f>ROUNDUP(B94*'Multiplication factors'!$M$14,2)</f>
        <v>0.01</v>
      </c>
      <c r="D94" s="7">
        <f t="shared" si="3"/>
        <v>0.1</v>
      </c>
      <c r="E94" s="8">
        <v>0.621</v>
      </c>
      <c r="F94" s="8">
        <f>ROUND(E94*'Multiplication factors'!$Q$14,2)</f>
        <v>1.33</v>
      </c>
      <c r="G94" s="7">
        <f t="shared" si="4"/>
        <v>3.33</v>
      </c>
      <c r="H94" s="8">
        <v>1.4E-2</v>
      </c>
      <c r="I94" s="8">
        <f>ROUND(H94*'Multiplication factors'!$U$14,2)</f>
        <v>0.61</v>
      </c>
      <c r="J94" s="7">
        <f t="shared" si="5"/>
        <v>7.63</v>
      </c>
    </row>
    <row r="95" spans="1:10" x14ac:dyDescent="0.35">
      <c r="A95" s="1">
        <v>93</v>
      </c>
      <c r="B95" s="8">
        <v>6.4000000000000001E-2</v>
      </c>
      <c r="C95" s="8">
        <f>ROUNDUP(B95*'Multiplication factors'!$M$14,2)</f>
        <v>0.01</v>
      </c>
      <c r="D95" s="7">
        <f t="shared" si="3"/>
        <v>0.1</v>
      </c>
      <c r="E95" s="8">
        <v>0.44800000000000001</v>
      </c>
      <c r="F95" s="8">
        <f>ROUND(E95*'Multiplication factors'!$Q$14,2)</f>
        <v>0.96</v>
      </c>
      <c r="G95" s="7">
        <f t="shared" si="4"/>
        <v>2.4</v>
      </c>
      <c r="H95" s="8">
        <v>1.4999999999999999E-2</v>
      </c>
      <c r="I95" s="8">
        <f>ROUND(H95*'Multiplication factors'!$U$14,2)</f>
        <v>0.65</v>
      </c>
      <c r="J95" s="7">
        <f t="shared" si="5"/>
        <v>8.1300000000000008</v>
      </c>
    </row>
    <row r="96" spans="1:10" x14ac:dyDescent="0.35">
      <c r="A96" s="1">
        <v>94</v>
      </c>
      <c r="B96" s="8">
        <v>5.8000000000000003E-2</v>
      </c>
      <c r="C96" s="8">
        <f>ROUNDUP(B96*'Multiplication factors'!$M$14,2)</f>
        <v>0.01</v>
      </c>
      <c r="D96" s="7">
        <f t="shared" si="3"/>
        <v>0.1</v>
      </c>
      <c r="E96" s="8">
        <v>0.39600000000000002</v>
      </c>
      <c r="F96" s="8">
        <f>ROUND(E96*'Multiplication factors'!$Q$14,2)</f>
        <v>0.85</v>
      </c>
      <c r="G96" s="7">
        <f t="shared" si="4"/>
        <v>2.13</v>
      </c>
      <c r="H96" s="8">
        <v>1.6E-2</v>
      </c>
      <c r="I96" s="8">
        <f>ROUND(H96*'Multiplication factors'!$U$14,2)</f>
        <v>0.69</v>
      </c>
      <c r="J96" s="7">
        <f t="shared" si="5"/>
        <v>8.6300000000000008</v>
      </c>
    </row>
    <row r="97" spans="1:10" x14ac:dyDescent="0.35">
      <c r="A97" s="1">
        <v>95</v>
      </c>
      <c r="B97" s="8">
        <v>6.3E-2</v>
      </c>
      <c r="C97" s="8">
        <f>ROUNDUP(B97*'Multiplication factors'!$M$14,2)</f>
        <v>0.01</v>
      </c>
      <c r="D97" s="7">
        <f t="shared" si="3"/>
        <v>0.1</v>
      </c>
      <c r="E97" s="8">
        <v>0.61499999999999999</v>
      </c>
      <c r="F97" s="8">
        <f>ROUND(E97*'Multiplication factors'!$Q$14,2)</f>
        <v>1.32</v>
      </c>
      <c r="G97" s="7">
        <f t="shared" si="4"/>
        <v>3.3</v>
      </c>
      <c r="H97" s="8">
        <v>1.4999999999999999E-2</v>
      </c>
      <c r="I97" s="8">
        <f>ROUND(H97*'Multiplication factors'!$U$14,2)</f>
        <v>0.65</v>
      </c>
      <c r="J97" s="7">
        <f t="shared" si="5"/>
        <v>8.1300000000000008</v>
      </c>
    </row>
    <row r="98" spans="1:10" x14ac:dyDescent="0.35">
      <c r="A98" s="1">
        <v>96</v>
      </c>
      <c r="B98" s="8">
        <v>3.9E-2</v>
      </c>
      <c r="C98" s="8">
        <f>ROUNDUP(B98*'Multiplication factors'!$M$14,2)</f>
        <v>0.01</v>
      </c>
      <c r="D98" s="7">
        <f t="shared" si="3"/>
        <v>0.1</v>
      </c>
      <c r="E98" s="8">
        <v>0.43099999999999999</v>
      </c>
      <c r="F98" s="8">
        <f>ROUND(E98*'Multiplication factors'!$Q$14,2)</f>
        <v>0.92</v>
      </c>
      <c r="G98" s="7">
        <f t="shared" si="4"/>
        <v>2.2999999999999998</v>
      </c>
      <c r="H98" s="8">
        <v>1.4E-2</v>
      </c>
      <c r="I98" s="8">
        <f>ROUND(H98*'Multiplication factors'!$U$14,2)</f>
        <v>0.61</v>
      </c>
      <c r="J98" s="7">
        <f t="shared" si="5"/>
        <v>7.63</v>
      </c>
    </row>
    <row r="99" spans="1:10" x14ac:dyDescent="0.35">
      <c r="A99" s="1">
        <v>97</v>
      </c>
      <c r="B99" s="8">
        <v>7.4999999999999997E-2</v>
      </c>
      <c r="C99" s="8">
        <f>ROUNDUP(B99*'Multiplication factors'!$M$14,2)</f>
        <v>0.01</v>
      </c>
      <c r="D99" s="7">
        <f t="shared" si="3"/>
        <v>0.1</v>
      </c>
      <c r="E99" s="8">
        <v>0.49299999999999999</v>
      </c>
      <c r="F99" s="8">
        <f>ROUND(E99*'Multiplication factors'!$Q$14,2)</f>
        <v>1.05</v>
      </c>
      <c r="G99" s="7">
        <f t="shared" si="4"/>
        <v>2.63</v>
      </c>
      <c r="H99" s="8">
        <v>1.6E-2</v>
      </c>
      <c r="I99" s="8">
        <f>ROUND(H99*'Multiplication factors'!$U$14,2)</f>
        <v>0.69</v>
      </c>
      <c r="J99" s="7">
        <f t="shared" si="5"/>
        <v>8.6300000000000008</v>
      </c>
    </row>
    <row r="100" spans="1:10" x14ac:dyDescent="0.35">
      <c r="A100" s="1">
        <v>98</v>
      </c>
      <c r="B100" s="8">
        <v>3.1E-2</v>
      </c>
      <c r="C100" s="8">
        <f>ROUNDUP(B100*'Multiplication factors'!$M$14,2)</f>
        <v>0.01</v>
      </c>
      <c r="D100" s="7">
        <f t="shared" si="3"/>
        <v>0.1</v>
      </c>
      <c r="E100" s="8">
        <v>0.47199999999999998</v>
      </c>
      <c r="F100" s="8">
        <f>ROUND(E100*'Multiplication factors'!$Q$14,2)</f>
        <v>1.01</v>
      </c>
      <c r="G100" s="7">
        <f t="shared" si="4"/>
        <v>2.5299999999999998</v>
      </c>
      <c r="H100" s="8">
        <v>1.4999999999999999E-2</v>
      </c>
      <c r="I100" s="8">
        <f>ROUND(H100*'Multiplication factors'!$U$14,2)</f>
        <v>0.65</v>
      </c>
      <c r="J100" s="7">
        <f t="shared" si="5"/>
        <v>8.1300000000000008</v>
      </c>
    </row>
    <row r="101" spans="1:10" x14ac:dyDescent="0.35">
      <c r="A101" s="1">
        <v>99</v>
      </c>
      <c r="B101" s="8">
        <v>6.2E-2</v>
      </c>
      <c r="C101" s="8">
        <f>ROUNDUP(B101*'Multiplication factors'!$M$14,2)</f>
        <v>0.01</v>
      </c>
      <c r="D101" s="7">
        <f t="shared" si="3"/>
        <v>0.1</v>
      </c>
      <c r="E101" s="8">
        <v>0.34599999999999997</v>
      </c>
      <c r="F101" s="8">
        <f>ROUND(E101*'Multiplication factors'!$Q$14,2)</f>
        <v>0.74</v>
      </c>
      <c r="G101" s="7">
        <f t="shared" si="4"/>
        <v>1.85</v>
      </c>
      <c r="H101" s="8">
        <v>1.6E-2</v>
      </c>
      <c r="I101" s="8">
        <f>ROUND(H101*'Multiplication factors'!$U$14,2)</f>
        <v>0.69</v>
      </c>
      <c r="J101" s="7">
        <f t="shared" si="5"/>
        <v>8.6300000000000008</v>
      </c>
    </row>
    <row r="102" spans="1:10" x14ac:dyDescent="0.35">
      <c r="A102" s="1">
        <v>100</v>
      </c>
      <c r="B102" s="8">
        <v>4.1000000000000002E-2</v>
      </c>
      <c r="C102" s="8">
        <f>ROUNDUP(B102*'Multiplication factors'!$M$14,2)</f>
        <v>0.01</v>
      </c>
      <c r="D102" s="7">
        <f t="shared" si="3"/>
        <v>0.1</v>
      </c>
      <c r="E102" s="8">
        <v>0.36799999999999999</v>
      </c>
      <c r="F102" s="8">
        <f>ROUND(E102*'Multiplication factors'!$Q$14,2)</f>
        <v>0.79</v>
      </c>
      <c r="G102" s="7">
        <f t="shared" si="4"/>
        <v>1.98</v>
      </c>
      <c r="H102" s="8">
        <v>1.7000000000000001E-2</v>
      </c>
      <c r="I102" s="8">
        <f>ROUND(H102*'Multiplication factors'!$U$14,2)</f>
        <v>0.74</v>
      </c>
      <c r="J102" s="7">
        <f t="shared" si="5"/>
        <v>9.25</v>
      </c>
    </row>
    <row r="103" spans="1:10" x14ac:dyDescent="0.35">
      <c r="A103" s="1">
        <v>101</v>
      </c>
      <c r="B103" s="8">
        <v>5.0999999999999997E-2</v>
      </c>
      <c r="C103" s="8">
        <f>ROUNDUP(B103*'Multiplication factors'!$M$14,2)</f>
        <v>0.01</v>
      </c>
      <c r="D103" s="7">
        <f t="shared" si="3"/>
        <v>0.1</v>
      </c>
      <c r="E103" s="8">
        <v>0.437</v>
      </c>
      <c r="F103" s="8">
        <f>ROUND(E103*'Multiplication factors'!$Q$14,2)</f>
        <v>0.93</v>
      </c>
      <c r="G103" s="7">
        <f t="shared" si="4"/>
        <v>2.33</v>
      </c>
      <c r="H103" s="8">
        <v>1.7000000000000001E-2</v>
      </c>
      <c r="I103" s="8">
        <f>ROUND(H103*'Multiplication factors'!$U$14,2)</f>
        <v>0.74</v>
      </c>
      <c r="J103" s="7">
        <f t="shared" si="5"/>
        <v>9.25</v>
      </c>
    </row>
    <row r="104" spans="1:10" x14ac:dyDescent="0.35">
      <c r="A104" s="1">
        <v>102</v>
      </c>
      <c r="B104" s="8">
        <v>3.7999999999999999E-2</v>
      </c>
      <c r="C104" s="8">
        <f>ROUNDUP(B104*'Multiplication factors'!$M$14,2)</f>
        <v>0.01</v>
      </c>
      <c r="D104" s="7">
        <f t="shared" si="3"/>
        <v>0.1</v>
      </c>
      <c r="E104" s="8">
        <v>0.433</v>
      </c>
      <c r="F104" s="8">
        <f>ROUND(E104*'Multiplication factors'!$Q$14,2)</f>
        <v>0.93</v>
      </c>
      <c r="G104" s="7">
        <f t="shared" si="4"/>
        <v>2.33</v>
      </c>
      <c r="H104" s="8">
        <v>1.9E-2</v>
      </c>
      <c r="I104" s="8">
        <f>ROUND(H104*'Multiplication factors'!$U$14,2)</f>
        <v>0.82</v>
      </c>
      <c r="J104" s="7">
        <f t="shared" si="5"/>
        <v>10.25</v>
      </c>
    </row>
    <row r="105" spans="1:10" x14ac:dyDescent="0.35">
      <c r="A105" s="1">
        <v>103</v>
      </c>
      <c r="B105" s="8">
        <v>3.4000000000000002E-2</v>
      </c>
      <c r="C105" s="8">
        <f>ROUNDUP(B105*'Multiplication factors'!$M$14,2)</f>
        <v>0.01</v>
      </c>
      <c r="D105" s="7">
        <f t="shared" si="3"/>
        <v>0.1</v>
      </c>
      <c r="E105" s="8">
        <v>0.379</v>
      </c>
      <c r="F105" s="8">
        <f>ROUND(E105*'Multiplication factors'!$Q$14,2)</f>
        <v>0.81</v>
      </c>
      <c r="G105" s="7">
        <f t="shared" si="4"/>
        <v>2.0299999999999998</v>
      </c>
      <c r="H105" s="8">
        <v>1.6E-2</v>
      </c>
      <c r="I105" s="8">
        <f>ROUND(H105*'Multiplication factors'!$U$14,2)</f>
        <v>0.69</v>
      </c>
      <c r="J105" s="7">
        <f t="shared" si="5"/>
        <v>8.6300000000000008</v>
      </c>
    </row>
    <row r="106" spans="1:10" x14ac:dyDescent="0.35">
      <c r="A106" s="1">
        <v>104</v>
      </c>
      <c r="B106" s="8">
        <v>7.3999999999999996E-2</v>
      </c>
      <c r="C106" s="8">
        <f>ROUNDUP(B106*'Multiplication factors'!$M$14,2)</f>
        <v>0.01</v>
      </c>
      <c r="D106" s="7">
        <f t="shared" si="3"/>
        <v>0.1</v>
      </c>
      <c r="E106" s="8">
        <v>0.55600000000000005</v>
      </c>
      <c r="F106" s="8">
        <f>ROUND(E106*'Multiplication factors'!$Q$14,2)</f>
        <v>1.19</v>
      </c>
      <c r="G106" s="7">
        <f t="shared" si="4"/>
        <v>2.98</v>
      </c>
      <c r="H106" s="8">
        <v>2.4E-2</v>
      </c>
      <c r="I106" s="8">
        <f>ROUND(H106*'Multiplication factors'!$U$14,2)</f>
        <v>1.04</v>
      </c>
      <c r="J106" s="7">
        <f t="shared" si="5"/>
        <v>13</v>
      </c>
    </row>
    <row r="107" spans="1:10" x14ac:dyDescent="0.35">
      <c r="A107" s="1">
        <v>105</v>
      </c>
      <c r="B107" s="8">
        <v>0.04</v>
      </c>
      <c r="C107" s="8">
        <f>ROUNDUP(B107*'Multiplication factors'!$M$14,2)</f>
        <v>0.01</v>
      </c>
      <c r="D107" s="7">
        <f t="shared" si="3"/>
        <v>0.1</v>
      </c>
      <c r="E107" s="8">
        <v>0.36499999999999999</v>
      </c>
      <c r="F107" s="8">
        <f>ROUND(E107*'Multiplication factors'!$Q$14,2)</f>
        <v>0.78</v>
      </c>
      <c r="G107" s="7">
        <f t="shared" si="4"/>
        <v>1.95</v>
      </c>
      <c r="H107" s="8">
        <v>2.4E-2</v>
      </c>
      <c r="I107" s="8">
        <f>ROUND(H107*'Multiplication factors'!$U$14,2)</f>
        <v>1.04</v>
      </c>
      <c r="J107" s="7">
        <f t="shared" si="5"/>
        <v>13</v>
      </c>
    </row>
    <row r="108" spans="1:10" x14ac:dyDescent="0.35">
      <c r="A108" s="1">
        <v>106</v>
      </c>
      <c r="B108" s="8">
        <v>7.2999999999999995E-2</v>
      </c>
      <c r="C108" s="8">
        <f>ROUNDUP(B108*'Multiplication factors'!$M$14,2)</f>
        <v>0.01</v>
      </c>
      <c r="D108" s="7">
        <f t="shared" si="3"/>
        <v>0.1</v>
      </c>
      <c r="E108" s="8">
        <v>0.371</v>
      </c>
      <c r="F108" s="8">
        <f>ROUND(E108*'Multiplication factors'!$Q$14,2)</f>
        <v>0.79</v>
      </c>
      <c r="G108" s="7">
        <f t="shared" si="4"/>
        <v>1.98</v>
      </c>
      <c r="H108" s="8">
        <v>2.1000000000000001E-2</v>
      </c>
      <c r="I108" s="8">
        <f>ROUND(H108*'Multiplication factors'!$U$14,2)</f>
        <v>0.91</v>
      </c>
      <c r="J108" s="7">
        <f t="shared" si="5"/>
        <v>11.38</v>
      </c>
    </row>
    <row r="109" spans="1:10" x14ac:dyDescent="0.35">
      <c r="A109" s="1">
        <v>107</v>
      </c>
      <c r="B109" s="8">
        <v>3.6999999999999998E-2</v>
      </c>
      <c r="C109" s="8">
        <f>ROUNDUP(B109*'Multiplication factors'!$M$14,2)</f>
        <v>0.01</v>
      </c>
      <c r="D109" s="7">
        <f t="shared" si="3"/>
        <v>0.1</v>
      </c>
      <c r="E109" s="8">
        <v>0.496</v>
      </c>
      <c r="F109" s="8">
        <f>ROUND(E109*'Multiplication factors'!$Q$14,2)</f>
        <v>1.06</v>
      </c>
      <c r="G109" s="7">
        <f t="shared" si="4"/>
        <v>2.65</v>
      </c>
      <c r="H109" s="8">
        <v>1.4E-2</v>
      </c>
      <c r="I109" s="8">
        <f>ROUND(H109*'Multiplication factors'!$U$14,2)</f>
        <v>0.61</v>
      </c>
      <c r="J109" s="7">
        <f t="shared" si="5"/>
        <v>7.63</v>
      </c>
    </row>
    <row r="110" spans="1:10" x14ac:dyDescent="0.35">
      <c r="A110" s="1">
        <v>108</v>
      </c>
      <c r="B110" s="8">
        <v>0.04</v>
      </c>
      <c r="C110" s="8">
        <f>ROUNDUP(B110*'Multiplication factors'!$M$14,2)</f>
        <v>0.01</v>
      </c>
      <c r="D110" s="7">
        <f t="shared" si="3"/>
        <v>0.1</v>
      </c>
      <c r="E110" s="8">
        <v>0.45800000000000002</v>
      </c>
      <c r="F110" s="8">
        <f>ROUND(E110*'Multiplication factors'!$Q$14,2)</f>
        <v>0.98</v>
      </c>
      <c r="G110" s="7">
        <f t="shared" si="4"/>
        <v>2.4500000000000002</v>
      </c>
      <c r="H110" s="8">
        <v>1.4999999999999999E-2</v>
      </c>
      <c r="I110" s="8">
        <f>ROUND(H110*'Multiplication factors'!$U$14,2)</f>
        <v>0.65</v>
      </c>
      <c r="J110" s="7">
        <f t="shared" si="5"/>
        <v>8.1300000000000008</v>
      </c>
    </row>
    <row r="111" spans="1:10" x14ac:dyDescent="0.35">
      <c r="A111" s="1">
        <v>109</v>
      </c>
      <c r="B111" s="8">
        <v>8.4000000000000005E-2</v>
      </c>
      <c r="C111" s="8">
        <f>ROUNDUP(B111*'Multiplication factors'!$M$14,2)</f>
        <v>0.02</v>
      </c>
      <c r="D111" s="7">
        <f t="shared" si="3"/>
        <v>0.2</v>
      </c>
      <c r="E111" s="8">
        <v>0.45100000000000001</v>
      </c>
      <c r="F111" s="8">
        <f>ROUND(E111*'Multiplication factors'!$Q$14,2)</f>
        <v>0.96</v>
      </c>
      <c r="G111" s="7">
        <f t="shared" si="4"/>
        <v>2.4</v>
      </c>
      <c r="H111" s="8">
        <v>1.2E-2</v>
      </c>
      <c r="I111" s="8">
        <f>ROUND(H111*'Multiplication factors'!$U$14,2)</f>
        <v>0.52</v>
      </c>
      <c r="J111" s="7">
        <f t="shared" si="5"/>
        <v>6.5</v>
      </c>
    </row>
    <row r="112" spans="1:10" x14ac:dyDescent="0.35">
      <c r="A112" s="1">
        <v>110</v>
      </c>
      <c r="B112" s="8">
        <v>4.5999999999999999E-2</v>
      </c>
      <c r="C112" s="8">
        <f>ROUNDUP(B112*'Multiplication factors'!$M$14,2)</f>
        <v>0.01</v>
      </c>
      <c r="D112" s="7">
        <f t="shared" si="3"/>
        <v>0.1</v>
      </c>
      <c r="E112" s="8">
        <v>0.42399999999999999</v>
      </c>
      <c r="F112" s="8">
        <f>ROUND(E112*'Multiplication factors'!$Q$14,2)</f>
        <v>0.91</v>
      </c>
      <c r="G112" s="7">
        <f t="shared" si="4"/>
        <v>2.2799999999999998</v>
      </c>
      <c r="H112" s="8">
        <v>1.4999999999999999E-2</v>
      </c>
      <c r="I112" s="8">
        <f>ROUND(H112*'Multiplication factors'!$U$14,2)</f>
        <v>0.65</v>
      </c>
      <c r="J112" s="7">
        <f t="shared" si="5"/>
        <v>8.1300000000000008</v>
      </c>
    </row>
    <row r="113" spans="1:10" x14ac:dyDescent="0.35">
      <c r="A113" s="1">
        <v>111</v>
      </c>
      <c r="B113" s="8">
        <v>4.7E-2</v>
      </c>
      <c r="C113" s="8">
        <f>ROUNDUP(B113*'Multiplication factors'!$M$14,2)</f>
        <v>0.01</v>
      </c>
      <c r="D113" s="7">
        <f t="shared" si="3"/>
        <v>0.1</v>
      </c>
      <c r="E113" s="8">
        <v>0.443</v>
      </c>
      <c r="F113" s="8">
        <f>ROUND(E113*'Multiplication factors'!$Q$14,2)</f>
        <v>0.95</v>
      </c>
      <c r="G113" s="7">
        <f t="shared" si="4"/>
        <v>2.38</v>
      </c>
      <c r="H113" s="8">
        <v>1.6E-2</v>
      </c>
      <c r="I113" s="8">
        <f>ROUND(H113*'Multiplication factors'!$U$14,2)</f>
        <v>0.69</v>
      </c>
      <c r="J113" s="7">
        <f t="shared" si="5"/>
        <v>8.6300000000000008</v>
      </c>
    </row>
    <row r="114" spans="1:10" x14ac:dyDescent="0.35">
      <c r="A114" s="1">
        <v>112</v>
      </c>
      <c r="B114" s="8">
        <v>4.8000000000000001E-2</v>
      </c>
      <c r="C114" s="8">
        <f>ROUNDUP(B114*'Multiplication factors'!$M$14,2)</f>
        <v>0.01</v>
      </c>
      <c r="D114" s="7">
        <f t="shared" si="3"/>
        <v>0.1</v>
      </c>
      <c r="E114" s="8">
        <v>0.51900000000000002</v>
      </c>
      <c r="F114" s="8">
        <f>ROUND(E114*'Multiplication factors'!$Q$14,2)</f>
        <v>1.1100000000000001</v>
      </c>
      <c r="G114" s="7">
        <f t="shared" si="4"/>
        <v>2.78</v>
      </c>
      <c r="H114" s="8">
        <v>1.4E-2</v>
      </c>
      <c r="I114" s="8">
        <f>ROUND(H114*'Multiplication factors'!$U$14,2)</f>
        <v>0.61</v>
      </c>
      <c r="J114" s="7">
        <f t="shared" si="5"/>
        <v>7.63</v>
      </c>
    </row>
    <row r="115" spans="1:10" x14ac:dyDescent="0.35">
      <c r="A115" s="1">
        <v>113</v>
      </c>
      <c r="B115" s="8">
        <v>3.7999999999999999E-2</v>
      </c>
      <c r="C115" s="8">
        <f>ROUNDUP(B115*'Multiplication factors'!$M$14,2)</f>
        <v>0.01</v>
      </c>
      <c r="D115" s="7">
        <f t="shared" si="3"/>
        <v>0.1</v>
      </c>
      <c r="E115" s="8">
        <v>0.26800000000000002</v>
      </c>
      <c r="F115" s="8">
        <f>ROUND(E115*'Multiplication factors'!$Q$14,2)</f>
        <v>0.56999999999999995</v>
      </c>
      <c r="G115" s="7">
        <f t="shared" si="4"/>
        <v>1.43</v>
      </c>
      <c r="H115" s="8">
        <v>1.6E-2</v>
      </c>
      <c r="I115" s="8">
        <f>ROUND(H115*'Multiplication factors'!$U$14,2)</f>
        <v>0.69</v>
      </c>
      <c r="J115" s="7">
        <f t="shared" si="5"/>
        <v>8.6300000000000008</v>
      </c>
    </row>
    <row r="116" spans="1:10" x14ac:dyDescent="0.35">
      <c r="A116" s="1">
        <v>114</v>
      </c>
      <c r="B116" s="8">
        <v>4.5999999999999999E-2</v>
      </c>
      <c r="C116" s="8">
        <f>ROUNDUP(B116*'Multiplication factors'!$M$14,2)</f>
        <v>0.01</v>
      </c>
      <c r="D116" s="7">
        <f t="shared" si="3"/>
        <v>0.1</v>
      </c>
      <c r="E116" s="8">
        <v>0.42299999999999999</v>
      </c>
      <c r="F116" s="8">
        <f>ROUND(E116*'Multiplication factors'!$Q$14,2)</f>
        <v>0.9</v>
      </c>
      <c r="G116" s="7">
        <f t="shared" si="4"/>
        <v>2.25</v>
      </c>
      <c r="H116" s="8">
        <v>8.9999999999999993E-3</v>
      </c>
      <c r="I116" s="8">
        <f>ROUND(H116*'Multiplication factors'!$U$14,2)</f>
        <v>0.39</v>
      </c>
      <c r="J116" s="7">
        <f t="shared" si="5"/>
        <v>4.88</v>
      </c>
    </row>
    <row r="117" spans="1:10" x14ac:dyDescent="0.35">
      <c r="A117" s="1">
        <v>115</v>
      </c>
      <c r="B117" s="8">
        <v>5.7000000000000002E-2</v>
      </c>
      <c r="C117" s="8">
        <f>ROUNDUP(B117*'Multiplication factors'!$M$14,2)</f>
        <v>0.01</v>
      </c>
      <c r="D117" s="7">
        <f t="shared" si="3"/>
        <v>0.1</v>
      </c>
      <c r="E117" s="8">
        <v>0.68799999999999994</v>
      </c>
      <c r="F117" s="8">
        <f>ROUND(E117*'Multiplication factors'!$Q$14,2)</f>
        <v>1.47</v>
      </c>
      <c r="G117" s="7">
        <f t="shared" si="4"/>
        <v>3.68</v>
      </c>
      <c r="H117" s="8">
        <v>8.0000000000000002E-3</v>
      </c>
      <c r="I117" s="8">
        <f>ROUND(H117*'Multiplication factors'!$U$14,2)</f>
        <v>0.35</v>
      </c>
      <c r="J117" s="7">
        <f t="shared" si="5"/>
        <v>4.38</v>
      </c>
    </row>
    <row r="118" spans="1:10" x14ac:dyDescent="0.35">
      <c r="A118" s="1">
        <v>116</v>
      </c>
      <c r="B118" s="8">
        <v>6.8000000000000005E-2</v>
      </c>
      <c r="C118" s="8">
        <f>ROUNDUP(B118*'Multiplication factors'!$M$14,2)</f>
        <v>0.01</v>
      </c>
      <c r="D118" s="7">
        <f t="shared" si="3"/>
        <v>0.1</v>
      </c>
      <c r="E118" s="8">
        <v>0.56599999999999995</v>
      </c>
      <c r="F118" s="8">
        <f>ROUND(E118*'Multiplication factors'!$Q$14,2)</f>
        <v>1.21</v>
      </c>
      <c r="G118" s="7">
        <f t="shared" si="4"/>
        <v>3.03</v>
      </c>
      <c r="H118" s="8">
        <v>1.4E-2</v>
      </c>
      <c r="I118" s="8">
        <f>ROUND(H118*'Multiplication factors'!$U$14,2)</f>
        <v>0.61</v>
      </c>
      <c r="J118" s="7">
        <f t="shared" si="5"/>
        <v>7.63</v>
      </c>
    </row>
    <row r="119" spans="1:10" x14ac:dyDescent="0.35">
      <c r="A119" s="1">
        <v>117</v>
      </c>
      <c r="B119" s="8">
        <v>4.2000000000000003E-2</v>
      </c>
      <c r="C119" s="8">
        <f>ROUNDUP(B119*'Multiplication factors'!$M$14,2)</f>
        <v>0.01</v>
      </c>
      <c r="D119" s="7">
        <f t="shared" si="3"/>
        <v>0.1</v>
      </c>
      <c r="E119" s="8">
        <v>0.56699999999999995</v>
      </c>
      <c r="F119" s="8">
        <f>ROUND(E119*'Multiplication factors'!$Q$14,2)</f>
        <v>1.21</v>
      </c>
      <c r="G119" s="7">
        <f t="shared" si="4"/>
        <v>3.03</v>
      </c>
      <c r="H119" s="8">
        <v>1.4E-2</v>
      </c>
      <c r="I119" s="8">
        <f>ROUND(H119*'Multiplication factors'!$U$14,2)</f>
        <v>0.61</v>
      </c>
      <c r="J119" s="7">
        <f t="shared" si="5"/>
        <v>7.63</v>
      </c>
    </row>
    <row r="120" spans="1:10" x14ac:dyDescent="0.35">
      <c r="A120" s="1">
        <v>118</v>
      </c>
      <c r="B120" s="8">
        <v>4.2999999999999997E-2</v>
      </c>
      <c r="C120" s="8">
        <f>ROUNDUP(B120*'Multiplication factors'!$M$14,2)</f>
        <v>0.01</v>
      </c>
      <c r="D120" s="7">
        <f t="shared" si="3"/>
        <v>0.1</v>
      </c>
      <c r="E120" s="8">
        <v>0.48</v>
      </c>
      <c r="F120" s="8">
        <f>ROUND(E120*'Multiplication factors'!$Q$14,2)</f>
        <v>1.03</v>
      </c>
      <c r="G120" s="7">
        <f t="shared" si="4"/>
        <v>2.58</v>
      </c>
      <c r="H120" s="8">
        <v>1.6E-2</v>
      </c>
      <c r="I120" s="8">
        <f>ROUND(H120*'Multiplication factors'!$U$14,2)</f>
        <v>0.69</v>
      </c>
      <c r="J120" s="7">
        <f t="shared" si="5"/>
        <v>8.6300000000000008</v>
      </c>
    </row>
    <row r="121" spans="1:10" x14ac:dyDescent="0.35">
      <c r="A121" s="1">
        <v>119</v>
      </c>
      <c r="B121" s="8">
        <v>1.2999999999999999E-2</v>
      </c>
      <c r="C121" s="8">
        <f>ROUNDUP(B121*'Multiplication factors'!$M$14,2)</f>
        <v>0.01</v>
      </c>
      <c r="D121" s="7">
        <f t="shared" si="3"/>
        <v>0.1</v>
      </c>
      <c r="E121" s="8">
        <v>0.35399999999999998</v>
      </c>
      <c r="F121" s="8">
        <f>ROUND(E121*'Multiplication factors'!$Q$14,2)</f>
        <v>0.76</v>
      </c>
      <c r="G121" s="7">
        <f t="shared" si="4"/>
        <v>1.9</v>
      </c>
      <c r="H121" s="8">
        <v>1.9E-2</v>
      </c>
      <c r="I121" s="8">
        <f>ROUND(H121*'Multiplication factors'!$U$14,2)</f>
        <v>0.82</v>
      </c>
      <c r="J121" s="7">
        <f t="shared" si="5"/>
        <v>10.25</v>
      </c>
    </row>
    <row r="122" spans="1:10" x14ac:dyDescent="0.35">
      <c r="A122" s="1">
        <v>120</v>
      </c>
      <c r="B122" s="8">
        <v>5.3999999999999999E-2</v>
      </c>
      <c r="C122" s="8">
        <f>ROUNDUP(B122*'Multiplication factors'!$M$14,2)</f>
        <v>0.01</v>
      </c>
      <c r="D122" s="7">
        <f t="shared" si="3"/>
        <v>0.1</v>
      </c>
      <c r="E122" s="8">
        <v>0.44500000000000001</v>
      </c>
      <c r="F122" s="8">
        <f>ROUND(E122*'Multiplication factors'!$Q$14,2)</f>
        <v>0.95</v>
      </c>
      <c r="G122" s="7">
        <f t="shared" si="4"/>
        <v>2.38</v>
      </c>
      <c r="H122" s="8">
        <v>2.1000000000000001E-2</v>
      </c>
      <c r="I122" s="8">
        <f>ROUND(H122*'Multiplication factors'!$U$14,2)</f>
        <v>0.91</v>
      </c>
      <c r="J122" s="7">
        <f t="shared" si="5"/>
        <v>11.38</v>
      </c>
    </row>
    <row r="123" spans="1:10" x14ac:dyDescent="0.35">
      <c r="A123" s="1">
        <v>121</v>
      </c>
      <c r="B123" s="8">
        <v>3.2000000000000001E-2</v>
      </c>
      <c r="C123" s="8">
        <f>ROUNDUP(B123*'Multiplication factors'!$M$14,2)</f>
        <v>0.01</v>
      </c>
      <c r="D123" s="7">
        <f t="shared" si="3"/>
        <v>0.1</v>
      </c>
      <c r="E123" s="8">
        <v>0.372</v>
      </c>
      <c r="F123" s="8">
        <f>ROUND(E123*'Multiplication factors'!$Q$14,2)</f>
        <v>0.8</v>
      </c>
      <c r="G123" s="7">
        <f t="shared" si="4"/>
        <v>2</v>
      </c>
      <c r="H123" s="8">
        <v>0.02</v>
      </c>
      <c r="I123" s="8">
        <f>ROUND(H123*'Multiplication factors'!$U$14,2)</f>
        <v>0.87</v>
      </c>
      <c r="J123" s="7">
        <f t="shared" si="5"/>
        <v>10.88</v>
      </c>
    </row>
    <row r="124" spans="1:10" x14ac:dyDescent="0.35">
      <c r="A124" s="1">
        <v>122</v>
      </c>
      <c r="B124" s="8">
        <v>4.4999999999999998E-2</v>
      </c>
      <c r="C124" s="8">
        <f>ROUNDUP(B124*'Multiplication factors'!$M$14,2)</f>
        <v>0.01</v>
      </c>
      <c r="D124" s="7">
        <f t="shared" si="3"/>
        <v>0.1</v>
      </c>
      <c r="E124" s="8">
        <v>0.41699999999999998</v>
      </c>
      <c r="F124" s="8">
        <f>ROUND(E124*'Multiplication factors'!$Q$14,2)</f>
        <v>0.89</v>
      </c>
      <c r="G124" s="7">
        <f t="shared" si="4"/>
        <v>2.23</v>
      </c>
      <c r="H124" s="8">
        <v>2.3E-2</v>
      </c>
      <c r="I124" s="8">
        <f>ROUND(H124*'Multiplication factors'!$U$14,2)</f>
        <v>0.99</v>
      </c>
      <c r="J124" s="7">
        <f t="shared" si="5"/>
        <v>12.38</v>
      </c>
    </row>
    <row r="125" spans="1:10" x14ac:dyDescent="0.35">
      <c r="A125" s="1">
        <v>123</v>
      </c>
      <c r="B125" s="8">
        <v>8.6999999999999994E-2</v>
      </c>
      <c r="C125" s="8">
        <f>ROUNDUP(B125*'Multiplication factors'!$M$14,2)</f>
        <v>0.02</v>
      </c>
      <c r="D125" s="7">
        <f t="shared" si="3"/>
        <v>0.2</v>
      </c>
      <c r="E125" s="8">
        <v>0.40600000000000003</v>
      </c>
      <c r="F125" s="8">
        <f>ROUND(E125*'Multiplication factors'!$Q$14,2)</f>
        <v>0.87</v>
      </c>
      <c r="G125" s="7">
        <f t="shared" si="4"/>
        <v>2.1800000000000002</v>
      </c>
      <c r="H125" s="8">
        <v>1.4E-2</v>
      </c>
      <c r="I125" s="8">
        <f>ROUND(H125*'Multiplication factors'!$U$14,2)</f>
        <v>0.61</v>
      </c>
      <c r="J125" s="7">
        <f t="shared" si="5"/>
        <v>7.63</v>
      </c>
    </row>
    <row r="126" spans="1:10" x14ac:dyDescent="0.35">
      <c r="A126" s="1">
        <v>124</v>
      </c>
      <c r="B126" s="8">
        <v>4.9000000000000002E-2</v>
      </c>
      <c r="C126" s="8">
        <f>ROUNDUP(B126*'Multiplication factors'!$M$14,2)</f>
        <v>0.01</v>
      </c>
      <c r="D126" s="7">
        <f t="shared" si="3"/>
        <v>0.1</v>
      </c>
      <c r="E126" s="8">
        <v>0.41699999999999998</v>
      </c>
      <c r="F126" s="8">
        <f>ROUND(E126*'Multiplication factors'!$Q$14,2)</f>
        <v>0.89</v>
      </c>
      <c r="G126" s="7">
        <f t="shared" si="4"/>
        <v>2.23</v>
      </c>
      <c r="H126" s="8">
        <v>1.4999999999999999E-2</v>
      </c>
      <c r="I126" s="8">
        <f>ROUND(H126*'Multiplication factors'!$U$14,2)</f>
        <v>0.65</v>
      </c>
      <c r="J126" s="7">
        <f t="shared" si="5"/>
        <v>8.1300000000000008</v>
      </c>
    </row>
    <row r="127" spans="1:10" x14ac:dyDescent="0.35">
      <c r="A127" s="1">
        <v>125</v>
      </c>
      <c r="B127" s="8">
        <v>9.1999999999999998E-2</v>
      </c>
      <c r="C127" s="8">
        <f>ROUNDUP(B127*'Multiplication factors'!$M$14,2)</f>
        <v>0.02</v>
      </c>
      <c r="D127" s="7">
        <f t="shared" si="3"/>
        <v>0.2</v>
      </c>
      <c r="E127" s="8">
        <v>0.41199999999999998</v>
      </c>
      <c r="F127" s="8">
        <f>ROUND(E127*'Multiplication factors'!$Q$14,2)</f>
        <v>0.88</v>
      </c>
      <c r="G127" s="7">
        <f t="shared" si="4"/>
        <v>2.2000000000000002</v>
      </c>
      <c r="H127" s="8">
        <v>1.7999999999999999E-2</v>
      </c>
      <c r="I127" s="8">
        <f>ROUND(H127*'Multiplication factors'!$U$14,2)</f>
        <v>0.78</v>
      </c>
      <c r="J127" s="7">
        <f t="shared" si="5"/>
        <v>9.75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7"/>
  <sheetViews>
    <sheetView tabSelected="1" workbookViewId="0">
      <pane ySplit="1" topLeftCell="A112" activePane="bottomLeft" state="frozen"/>
      <selection pane="bottomLeft" activeCell="H128" sqref="H128"/>
    </sheetView>
  </sheetViews>
  <sheetFormatPr defaultRowHeight="14.5" x14ac:dyDescent="0.35"/>
  <cols>
    <col min="2" max="9" width="15.7265625" customWidth="1"/>
  </cols>
  <sheetData>
    <row r="1" spans="1:9" ht="32.25" customHeight="1" x14ac:dyDescent="0.35">
      <c r="B1" s="19" t="s">
        <v>27</v>
      </c>
      <c r="C1" s="19"/>
      <c r="D1" s="19" t="s">
        <v>25</v>
      </c>
      <c r="E1" s="19"/>
      <c r="F1" s="19" t="s">
        <v>26</v>
      </c>
      <c r="G1" s="19"/>
      <c r="H1" s="19" t="s">
        <v>28</v>
      </c>
      <c r="I1" s="19"/>
    </row>
    <row r="2" spans="1:9" ht="29" x14ac:dyDescent="0.35">
      <c r="A2" s="6" t="s">
        <v>2</v>
      </c>
      <c r="B2" s="10" t="s">
        <v>11</v>
      </c>
      <c r="C2" s="9" t="s">
        <v>29</v>
      </c>
      <c r="D2" s="10" t="s">
        <v>11</v>
      </c>
      <c r="E2" s="9" t="s">
        <v>29</v>
      </c>
      <c r="F2" s="10" t="s">
        <v>11</v>
      </c>
      <c r="G2" s="9" t="s">
        <v>29</v>
      </c>
      <c r="H2" s="10" t="s">
        <v>11</v>
      </c>
      <c r="I2" s="9" t="s">
        <v>29</v>
      </c>
    </row>
    <row r="3" spans="1:9" x14ac:dyDescent="0.35">
      <c r="A3" s="1">
        <v>1</v>
      </c>
      <c r="B3" s="8">
        <v>6.7500000000000004E-2</v>
      </c>
      <c r="C3" s="7">
        <f>IF(B3="","",ROUND(B3*2*'Multiplication factors'!$Y$8,2))</f>
        <v>1.27</v>
      </c>
      <c r="D3" s="8">
        <v>0.1565</v>
      </c>
      <c r="E3" s="7">
        <f>IF(D3="","",ROUND(D3*2*'Multiplication factors'!$AC$8,2))</f>
        <v>11.37</v>
      </c>
      <c r="F3" s="8">
        <v>0.45179999999999998</v>
      </c>
      <c r="G3" s="7">
        <f>IF(F3="","",ROUND(F3*2*'Multiplication factors'!$AG$8,2))</f>
        <v>18.010000000000002</v>
      </c>
      <c r="H3" s="8">
        <v>0.23250000000000001</v>
      </c>
      <c r="I3" s="7">
        <f>IF(H3="","",ROUND(H3*2*'Multiplication factors'!$AK$8,2))</f>
        <v>7.67</v>
      </c>
    </row>
    <row r="4" spans="1:9" x14ac:dyDescent="0.35">
      <c r="A4" s="1">
        <v>2</v>
      </c>
      <c r="B4" s="8">
        <v>5.1499999999999997E-2</v>
      </c>
      <c r="C4" s="7">
        <f>IF(B4="","",ROUND(B4*2*'Multiplication factors'!$Y$8,2))</f>
        <v>0.97</v>
      </c>
      <c r="D4" s="8">
        <v>0.15260000000000001</v>
      </c>
      <c r="E4" s="7">
        <f>IF(D4="","",ROUND(D4*2*'Multiplication factors'!$AC$8,2))</f>
        <v>11.08</v>
      </c>
      <c r="F4" s="8">
        <v>0.38479999999999998</v>
      </c>
      <c r="G4" s="7">
        <f>IF(F4="","",ROUND(F4*2*'Multiplication factors'!$AG$8,2))</f>
        <v>15.34</v>
      </c>
      <c r="H4" s="8">
        <v>0.1547</v>
      </c>
      <c r="I4" s="7">
        <f>IF(H4="","",ROUND(H4*2*'Multiplication factors'!$AK$8,2))</f>
        <v>5.0999999999999996</v>
      </c>
    </row>
    <row r="5" spans="1:9" x14ac:dyDescent="0.35">
      <c r="A5" s="1">
        <v>3</v>
      </c>
      <c r="B5" s="8">
        <v>2.0799999999999999E-2</v>
      </c>
      <c r="C5" s="7">
        <f>IF(B5="","",ROUND(B5*2*'Multiplication factors'!$Y$8,2))</f>
        <v>0.39</v>
      </c>
      <c r="D5" s="8">
        <v>0.14649999999999999</v>
      </c>
      <c r="E5" s="7">
        <f>IF(D5="","",ROUND(D5*2*'Multiplication factors'!$AC$8,2))</f>
        <v>10.64</v>
      </c>
      <c r="F5" s="8">
        <v>0.19139999999999999</v>
      </c>
      <c r="G5" s="7">
        <f>IF(F5="","",ROUND(F5*2*'Multiplication factors'!$AG$8,2))</f>
        <v>7.63</v>
      </c>
      <c r="H5" s="8">
        <v>0.1177</v>
      </c>
      <c r="I5" s="7">
        <f>IF(H5="","",ROUND(H5*2*'Multiplication factors'!$AK$8,2))</f>
        <v>3.88</v>
      </c>
    </row>
    <row r="6" spans="1:9" x14ac:dyDescent="0.35">
      <c r="A6" s="1">
        <v>4</v>
      </c>
      <c r="B6" s="8">
        <v>1.01E-2</v>
      </c>
      <c r="C6" s="7">
        <f>IF(B6="","",ROUND(B6*2*'Multiplication factors'!$Y$8,2))</f>
        <v>0.19</v>
      </c>
      <c r="D6" s="8">
        <v>8.2000000000000003E-2</v>
      </c>
      <c r="E6" s="7">
        <f>IF(D6="","",ROUND(D6*2*'Multiplication factors'!$AC$8,2))</f>
        <v>5.96</v>
      </c>
      <c r="F6" s="8">
        <v>0.87770000000000004</v>
      </c>
      <c r="G6" s="7">
        <f>IF(F6="","",ROUND(F6*2*'Multiplication factors'!$AG$8,2))</f>
        <v>34.979999999999997</v>
      </c>
      <c r="H6" s="8">
        <v>0.14149999999999999</v>
      </c>
      <c r="I6" s="7">
        <f>IF(H6="","",ROUND(H6*2*'Multiplication factors'!$AK$8,2))</f>
        <v>4.67</v>
      </c>
    </row>
    <row r="7" spans="1:9" x14ac:dyDescent="0.35">
      <c r="A7" s="1">
        <v>5</v>
      </c>
      <c r="B7" s="8">
        <v>1.2500000000000001E-2</v>
      </c>
      <c r="C7" s="7">
        <f>IF(B7="","",ROUND(B7*2*'Multiplication factors'!$Y$8,2))</f>
        <v>0.23</v>
      </c>
      <c r="D7" s="8">
        <v>0.1249</v>
      </c>
      <c r="E7" s="7">
        <f>IF(D7="","",ROUND(D7*2*'Multiplication factors'!$AC$8,2))</f>
        <v>9.07</v>
      </c>
      <c r="F7" s="8">
        <v>0.82709999999999995</v>
      </c>
      <c r="G7" s="7">
        <f>IF(F7="","",ROUND(F7*2*'Multiplication factors'!$AG$8,2))</f>
        <v>32.96</v>
      </c>
      <c r="H7" s="8">
        <v>0.13600000000000001</v>
      </c>
      <c r="I7" s="7">
        <f>IF(H7="","",ROUND(H7*2*'Multiplication factors'!$AK$8,2))</f>
        <v>4.49</v>
      </c>
    </row>
    <row r="8" spans="1:9" x14ac:dyDescent="0.35">
      <c r="A8" s="1">
        <v>6</v>
      </c>
      <c r="B8" s="8">
        <v>9.4200000000000006E-2</v>
      </c>
      <c r="C8" s="7">
        <f>IF(B8="","",ROUND(B8*2*'Multiplication factors'!$Y$8,2))</f>
        <v>1.77</v>
      </c>
      <c r="D8" s="8">
        <v>0.1128</v>
      </c>
      <c r="E8" s="7">
        <f>IF(D8="","",ROUND(D8*2*'Multiplication factors'!$AC$8,2))</f>
        <v>8.19</v>
      </c>
      <c r="F8" s="8">
        <v>0.83120000000000005</v>
      </c>
      <c r="G8" s="7">
        <f>IF(F8="","",ROUND(F8*2*'Multiplication factors'!$AG$8,2))</f>
        <v>33.119999999999997</v>
      </c>
      <c r="H8" s="8">
        <v>0.1211</v>
      </c>
      <c r="I8" s="7">
        <f>IF(H8="","",ROUND(H8*2*'Multiplication factors'!$AK$8,2))</f>
        <v>3.99</v>
      </c>
    </row>
    <row r="9" spans="1:9" x14ac:dyDescent="0.35">
      <c r="A9" s="1">
        <v>7</v>
      </c>
      <c r="B9" s="8">
        <v>7.7200000000000005E-2</v>
      </c>
      <c r="C9" s="7">
        <f>IF(B9="","",ROUND(B9*2*'Multiplication factors'!$Y$8,2))</f>
        <v>1.45</v>
      </c>
      <c r="D9" s="8">
        <v>0.1164</v>
      </c>
      <c r="E9" s="7">
        <f>IF(D9="","",ROUND(D9*2*'Multiplication factors'!$AC$8,2))</f>
        <v>8.4600000000000009</v>
      </c>
      <c r="F9" s="8">
        <v>0.77400000000000002</v>
      </c>
      <c r="G9" s="7">
        <f>IF(F9="","",ROUND(F9*2*'Multiplication factors'!$AG$8,2))</f>
        <v>30.85</v>
      </c>
      <c r="H9" s="8">
        <v>0.11940000000000001</v>
      </c>
      <c r="I9" s="7">
        <f>IF(H9="","",ROUND(H9*2*'Multiplication factors'!$AK$8,2))</f>
        <v>3.94</v>
      </c>
    </row>
    <row r="10" spans="1:9" x14ac:dyDescent="0.35">
      <c r="A10" s="1">
        <v>8</v>
      </c>
      <c r="B10" s="8">
        <v>7.3499999999999996E-2</v>
      </c>
      <c r="C10" s="7">
        <f>IF(B10="","",ROUND(B10*2*'Multiplication factors'!$Y$8,2))</f>
        <v>1.38</v>
      </c>
      <c r="D10" s="8">
        <v>6.25E-2</v>
      </c>
      <c r="E10" s="7">
        <f>IF(D10="","",ROUND(D10*2*'Multiplication factors'!$AC$8,2))</f>
        <v>4.54</v>
      </c>
      <c r="F10" s="8">
        <v>0.55430000000000001</v>
      </c>
      <c r="G10" s="7">
        <f>IF(F10="","",ROUND(F10*2*'Multiplication factors'!$AG$8,2))</f>
        <v>22.09</v>
      </c>
      <c r="H10" s="8">
        <v>0.12429999999999999</v>
      </c>
      <c r="I10" s="7">
        <f>IF(H10="","",ROUND(H10*2*'Multiplication factors'!$AK$8,2))</f>
        <v>4.0999999999999996</v>
      </c>
    </row>
    <row r="11" spans="1:9" x14ac:dyDescent="0.35">
      <c r="A11" s="1">
        <v>9</v>
      </c>
      <c r="B11" s="8">
        <v>0.08</v>
      </c>
      <c r="C11" s="7">
        <f>IF(B11="","",ROUND(B11*2*'Multiplication factors'!$Y$8,2))</f>
        <v>1.5</v>
      </c>
      <c r="D11" s="8">
        <v>4.8399999999999999E-2</v>
      </c>
      <c r="E11" s="7">
        <f>IF(D11="","",ROUND(D11*2*'Multiplication factors'!$AC$8,2))</f>
        <v>3.52</v>
      </c>
      <c r="F11" s="8">
        <v>0.55059999999999998</v>
      </c>
      <c r="G11" s="7">
        <f>IF(F11="","",ROUND(F11*2*'Multiplication factors'!$AG$8,2))</f>
        <v>21.94</v>
      </c>
      <c r="H11" s="8">
        <v>0.21970000000000001</v>
      </c>
      <c r="I11" s="7">
        <f>IF(H11="","",ROUND(H11*2*'Multiplication factors'!$AK$8,2))</f>
        <v>7.25</v>
      </c>
    </row>
    <row r="12" spans="1:9" x14ac:dyDescent="0.35">
      <c r="A12" s="1">
        <v>10</v>
      </c>
      <c r="B12" s="8">
        <v>0.11749999999999999</v>
      </c>
      <c r="C12" s="7">
        <f>IF(B12="","",ROUND(B12*2*'Multiplication factors'!$Y$8,2))</f>
        <v>2.2000000000000002</v>
      </c>
      <c r="D12" s="8">
        <v>5.7200000000000001E-2</v>
      </c>
      <c r="E12" s="7">
        <f>IF(D12="","",ROUND(D12*2*'Multiplication factors'!$AC$8,2))</f>
        <v>4.1500000000000004</v>
      </c>
      <c r="F12" s="8">
        <v>0.77059999999999995</v>
      </c>
      <c r="G12" s="7">
        <f>IF(F12="","",ROUND(F12*2*'Multiplication factors'!$AG$8,2))</f>
        <v>30.71</v>
      </c>
      <c r="H12" s="8">
        <v>0.13350000000000001</v>
      </c>
      <c r="I12" s="7">
        <f>IF(H12="","",ROUND(H12*2*'Multiplication factors'!$AK$8,2))</f>
        <v>4.4000000000000004</v>
      </c>
    </row>
    <row r="13" spans="1:9" x14ac:dyDescent="0.35">
      <c r="A13" s="1">
        <v>11</v>
      </c>
      <c r="B13" s="8">
        <v>6.7699999999999996E-2</v>
      </c>
      <c r="C13" s="7">
        <f>IF(B13="","",ROUND(B13*2*'Multiplication factors'!$Y$8,2))</f>
        <v>1.27</v>
      </c>
      <c r="D13" s="8">
        <v>2.9499999999999998E-2</v>
      </c>
      <c r="E13" s="7">
        <f>IF(D13="","",ROUND(D13*2*'Multiplication factors'!$AC$8,2))</f>
        <v>2.14</v>
      </c>
      <c r="F13" s="8">
        <v>0.34699999999999998</v>
      </c>
      <c r="G13" s="7">
        <f>IF(F13="","",ROUND(F13*2*'Multiplication factors'!$AG$8,2))</f>
        <v>13.83</v>
      </c>
      <c r="H13" s="8">
        <v>0.1113</v>
      </c>
      <c r="I13" s="7">
        <f>IF(H13="","",ROUND(H13*2*'Multiplication factors'!$AK$8,2))</f>
        <v>3.67</v>
      </c>
    </row>
    <row r="14" spans="1:9" x14ac:dyDescent="0.35">
      <c r="A14" s="1">
        <v>12</v>
      </c>
      <c r="B14" s="8">
        <v>6.1400000000000003E-2</v>
      </c>
      <c r="C14" s="7">
        <f>IF(B14="","",ROUND(B14*2*'Multiplication factors'!$Y$8,2))</f>
        <v>1.1499999999999999</v>
      </c>
      <c r="D14" s="8">
        <v>0.1318</v>
      </c>
      <c r="E14" s="7">
        <f>IF(D14="","",ROUND(D14*2*'Multiplication factors'!$AC$8,2))</f>
        <v>9.57</v>
      </c>
      <c r="F14" s="8">
        <v>0.29849999999999999</v>
      </c>
      <c r="G14" s="7">
        <f>IF(F14="","",ROUND(F14*2*'Multiplication factors'!$AG$8,2))</f>
        <v>11.9</v>
      </c>
      <c r="H14" s="8">
        <v>0.12520000000000001</v>
      </c>
      <c r="I14" s="7">
        <f>IF(H14="","",ROUND(H14*2*'Multiplication factors'!$AK$8,2))</f>
        <v>4.13</v>
      </c>
    </row>
    <row r="15" spans="1:9" x14ac:dyDescent="0.35">
      <c r="A15" s="1">
        <v>13</v>
      </c>
      <c r="B15" s="8">
        <v>7.6100000000000001E-2</v>
      </c>
      <c r="C15" s="7">
        <f>IF(B15="","",ROUND(B15*2*'Multiplication factors'!$Y$8,2))</f>
        <v>1.43</v>
      </c>
      <c r="D15" s="8">
        <v>0.1336</v>
      </c>
      <c r="E15" s="7">
        <f>IF(D15="","",ROUND(D15*2*'Multiplication factors'!$AC$8,2))</f>
        <v>9.6999999999999993</v>
      </c>
      <c r="F15" s="8">
        <v>0.2727</v>
      </c>
      <c r="G15" s="7">
        <f>IF(F15="","",ROUND(F15*2*'Multiplication factors'!$AG$8,2))</f>
        <v>10.87</v>
      </c>
      <c r="H15" s="8">
        <v>0.1197</v>
      </c>
      <c r="I15" s="7">
        <f>IF(H15="","",ROUND(H15*2*'Multiplication factors'!$AK$8,2))</f>
        <v>3.95</v>
      </c>
    </row>
    <row r="16" spans="1:9" x14ac:dyDescent="0.35">
      <c r="A16" s="1">
        <v>14</v>
      </c>
      <c r="B16" s="8">
        <v>8.3799999999999999E-2</v>
      </c>
      <c r="C16" s="7">
        <f>IF(B16="","",ROUND(B16*2*'Multiplication factors'!$Y$8,2))</f>
        <v>1.57</v>
      </c>
      <c r="D16" s="8">
        <v>0.12540000000000001</v>
      </c>
      <c r="E16" s="7">
        <f>IF(D16="","",ROUND(D16*2*'Multiplication factors'!$AC$8,2))</f>
        <v>9.11</v>
      </c>
      <c r="F16" s="8">
        <v>0.13489999999999999</v>
      </c>
      <c r="G16" s="7">
        <f>IF(F16="","",ROUND(F16*2*'Multiplication factors'!$AG$8,2))</f>
        <v>5.38</v>
      </c>
      <c r="H16" s="8">
        <v>9.6299999999999997E-2</v>
      </c>
      <c r="I16" s="7">
        <f>IF(H16="","",ROUND(H16*2*'Multiplication factors'!$AK$8,2))</f>
        <v>3.18</v>
      </c>
    </row>
    <row r="17" spans="1:9" x14ac:dyDescent="0.35">
      <c r="A17" s="1">
        <v>15</v>
      </c>
      <c r="B17" s="8">
        <v>0.1191</v>
      </c>
      <c r="C17" s="7">
        <f>IF(B17="","",ROUND(B17*2*'Multiplication factors'!$Y$8,2))</f>
        <v>2.23</v>
      </c>
      <c r="D17" s="8">
        <v>0.1265</v>
      </c>
      <c r="E17" s="7">
        <f>IF(D17="","",ROUND(D17*2*'Multiplication factors'!$AC$8,2))</f>
        <v>9.19</v>
      </c>
      <c r="F17" s="8">
        <v>0.15290000000000001</v>
      </c>
      <c r="G17" s="7">
        <f>IF(F17="","",ROUND(F17*2*'Multiplication factors'!$AG$8,2))</f>
        <v>6.09</v>
      </c>
      <c r="H17" s="8">
        <v>0.14680000000000001</v>
      </c>
      <c r="I17" s="7">
        <f>IF(H17="","",ROUND(H17*2*'Multiplication factors'!$AK$8,2))</f>
        <v>4.84</v>
      </c>
    </row>
    <row r="18" spans="1:9" x14ac:dyDescent="0.35">
      <c r="A18" s="1">
        <v>16</v>
      </c>
      <c r="B18" s="8">
        <v>9.1700000000000004E-2</v>
      </c>
      <c r="C18" s="7">
        <f>IF(B18="","",ROUND(B18*2*'Multiplication factors'!$Y$8,2))</f>
        <v>1.72</v>
      </c>
      <c r="D18" s="8">
        <v>0.22459999999999999</v>
      </c>
      <c r="E18" s="7">
        <f>IF(D18="","",ROUND(D18*2*'Multiplication factors'!$AC$8,2))</f>
        <v>16.309999999999999</v>
      </c>
      <c r="F18" s="8">
        <v>0.20230000000000001</v>
      </c>
      <c r="G18" s="7">
        <f>IF(F18="","",ROUND(F18*2*'Multiplication factors'!$AG$8,2))</f>
        <v>8.06</v>
      </c>
      <c r="H18" s="8">
        <v>0.10639999999999999</v>
      </c>
      <c r="I18" s="7">
        <f>IF(H18="","",ROUND(H18*2*'Multiplication factors'!$AK$8,2))</f>
        <v>3.51</v>
      </c>
    </row>
    <row r="19" spans="1:9" x14ac:dyDescent="0.35">
      <c r="A19" s="1">
        <v>17</v>
      </c>
      <c r="B19" s="8">
        <v>7.1300000000000002E-2</v>
      </c>
      <c r="C19" s="7">
        <f>IF(B19="","",ROUND(B19*2*'Multiplication factors'!$Y$8,2))</f>
        <v>1.34</v>
      </c>
      <c r="D19" s="8">
        <v>0.2467</v>
      </c>
      <c r="E19" s="7">
        <f>IF(D19="","",ROUND(D19*2*'Multiplication factors'!$AC$8,2))</f>
        <v>17.920000000000002</v>
      </c>
      <c r="F19" s="8">
        <v>0.2135</v>
      </c>
      <c r="G19" s="7">
        <f>IF(F19="","",ROUND(F19*2*'Multiplication factors'!$AG$8,2))</f>
        <v>8.51</v>
      </c>
      <c r="H19" s="8">
        <v>0.19120000000000001</v>
      </c>
      <c r="I19" s="7">
        <f>IF(H19="","",ROUND(H19*2*'Multiplication factors'!$AK$8,2))</f>
        <v>6.31</v>
      </c>
    </row>
    <row r="20" spans="1:9" x14ac:dyDescent="0.35">
      <c r="A20" s="1">
        <v>18</v>
      </c>
      <c r="B20" s="8">
        <v>8.6599999999999996E-2</v>
      </c>
      <c r="C20" s="7">
        <f>IF(B20="","",ROUND(B20*2*'Multiplication factors'!$Y$8,2))</f>
        <v>1.62</v>
      </c>
      <c r="D20" s="8">
        <v>0.20519999999999999</v>
      </c>
      <c r="E20" s="7">
        <f>IF(D20="","",ROUND(D20*2*'Multiplication factors'!$AC$8,2))</f>
        <v>14.91</v>
      </c>
      <c r="F20" s="8">
        <v>0.18809999999999999</v>
      </c>
      <c r="G20" s="7">
        <f>IF(F20="","",ROUND(F20*2*'Multiplication factors'!$AG$8,2))</f>
        <v>7.5</v>
      </c>
      <c r="H20" s="8">
        <v>8.7599999999999997E-2</v>
      </c>
      <c r="I20" s="7">
        <f>IF(H20="","",ROUND(H20*2*'Multiplication factors'!$AK$8,2))</f>
        <v>2.89</v>
      </c>
    </row>
    <row r="21" spans="1:9" x14ac:dyDescent="0.35">
      <c r="A21" s="1">
        <v>19</v>
      </c>
      <c r="B21" s="8">
        <v>0.11260000000000001</v>
      </c>
      <c r="C21" s="7">
        <f>IF(B21="","",ROUND(B21*2*'Multiplication factors'!$Y$8,2))</f>
        <v>2.11</v>
      </c>
      <c r="D21" s="8">
        <v>0.23139999999999999</v>
      </c>
      <c r="E21" s="7">
        <f>IF(D21="","",ROUND(D21*2*'Multiplication factors'!$AC$8,2))</f>
        <v>16.809999999999999</v>
      </c>
      <c r="F21" s="8">
        <v>0.1389</v>
      </c>
      <c r="G21" s="7">
        <f>IF(F21="","",ROUND(F21*2*'Multiplication factors'!$AG$8,2))</f>
        <v>5.54</v>
      </c>
      <c r="H21" s="8">
        <v>9.01E-2</v>
      </c>
      <c r="I21" s="7">
        <f>IF(H21="","",ROUND(H21*2*'Multiplication factors'!$AK$8,2))</f>
        <v>2.97</v>
      </c>
    </row>
    <row r="22" spans="1:9" x14ac:dyDescent="0.35">
      <c r="A22" s="1">
        <v>20</v>
      </c>
      <c r="B22" s="8">
        <v>0.1225</v>
      </c>
      <c r="C22" s="7">
        <f>IF(B22="","",ROUND(B22*2*'Multiplication factors'!$Y$8,2))</f>
        <v>2.2999999999999998</v>
      </c>
      <c r="D22" s="8">
        <v>0.2132</v>
      </c>
      <c r="E22" s="7">
        <f>IF(D22="","",ROUND(D22*2*'Multiplication factors'!$AC$8,2))</f>
        <v>15.49</v>
      </c>
      <c r="F22" s="8">
        <v>0.12540000000000001</v>
      </c>
      <c r="G22" s="7">
        <f>IF(F22="","",ROUND(F22*2*'Multiplication factors'!$AG$8,2))</f>
        <v>5</v>
      </c>
      <c r="H22" s="8">
        <v>0.17910000000000001</v>
      </c>
      <c r="I22" s="7">
        <f>IF(H22="","",ROUND(H22*2*'Multiplication factors'!$AK$8,2))</f>
        <v>5.91</v>
      </c>
    </row>
    <row r="23" spans="1:9" x14ac:dyDescent="0.35">
      <c r="A23" s="1">
        <v>21</v>
      </c>
      <c r="B23" s="8">
        <v>7.0999999999999994E-2</v>
      </c>
      <c r="C23" s="7">
        <f>IF(B23="","",ROUND(B23*2*'Multiplication factors'!$Y$8,2))</f>
        <v>1.33</v>
      </c>
      <c r="D23" s="8">
        <v>0.24909999999999999</v>
      </c>
      <c r="E23" s="7">
        <f>IF(D23="","",ROUND(D23*2*'Multiplication factors'!$AC$8,2))</f>
        <v>18.09</v>
      </c>
      <c r="F23" s="8">
        <v>0.12790000000000001</v>
      </c>
      <c r="G23" s="7">
        <f>IF(F23="","",ROUND(F23*2*'Multiplication factors'!$AG$8,2))</f>
        <v>5.0999999999999996</v>
      </c>
      <c r="H23" s="8">
        <v>8.09E-2</v>
      </c>
      <c r="I23" s="7">
        <f>IF(H23="","",ROUND(H23*2*'Multiplication factors'!$AK$8,2))</f>
        <v>2.67</v>
      </c>
    </row>
    <row r="24" spans="1:9" x14ac:dyDescent="0.35">
      <c r="A24" s="1">
        <v>22</v>
      </c>
      <c r="B24" s="8">
        <v>0.11360000000000001</v>
      </c>
      <c r="C24" s="7">
        <f>IF(B24="","",ROUND(B24*2*'Multiplication factors'!$Y$8,2))</f>
        <v>2.13</v>
      </c>
      <c r="D24" s="8">
        <v>0.2117</v>
      </c>
      <c r="E24" s="7">
        <f>IF(D24="","",ROUND(D24*2*'Multiplication factors'!$AC$8,2))</f>
        <v>15.38</v>
      </c>
      <c r="F24" s="8">
        <v>0.1079</v>
      </c>
      <c r="G24" s="7">
        <f>IF(F24="","",ROUND(F24*2*'Multiplication factors'!$AG$8,2))</f>
        <v>4.3</v>
      </c>
      <c r="H24" s="8">
        <v>9.7000000000000003E-2</v>
      </c>
      <c r="I24" s="7">
        <f>IF(H24="","",ROUND(H24*2*'Multiplication factors'!$AK$8,2))</f>
        <v>3.2</v>
      </c>
    </row>
    <row r="25" spans="1:9" x14ac:dyDescent="0.35">
      <c r="A25" s="1">
        <v>23</v>
      </c>
      <c r="B25" s="8">
        <v>7.4999999999999997E-2</v>
      </c>
      <c r="C25" s="7">
        <f>IF(B25="","",ROUND(B25*2*'Multiplication factors'!$Y$8,2))</f>
        <v>1.41</v>
      </c>
      <c r="D25" s="8">
        <v>0.2303</v>
      </c>
      <c r="E25" s="7">
        <f>IF(D25="","",ROUND(D25*2*'Multiplication factors'!$AC$8,2))</f>
        <v>16.73</v>
      </c>
      <c r="F25" s="8">
        <v>0.1512</v>
      </c>
      <c r="G25" s="7">
        <f>IF(F25="","",ROUND(F25*2*'Multiplication factors'!$AG$8,2))</f>
        <v>6.03</v>
      </c>
      <c r="H25" s="8">
        <v>6.8900000000000003E-2</v>
      </c>
      <c r="I25" s="7">
        <f>IF(H25="","",ROUND(H25*2*'Multiplication factors'!$AK$8,2))</f>
        <v>2.27</v>
      </c>
    </row>
    <row r="26" spans="1:9" x14ac:dyDescent="0.35">
      <c r="A26" s="1">
        <v>24</v>
      </c>
      <c r="B26" s="8">
        <v>6.3700000000000007E-2</v>
      </c>
      <c r="C26" s="7">
        <f>IF(B26="","",ROUND(B26*2*'Multiplication factors'!$Y$8,2))</f>
        <v>1.2</v>
      </c>
      <c r="D26" s="8">
        <v>0.22359999999999999</v>
      </c>
      <c r="E26" s="7">
        <f>IF(D26="","",ROUND(D26*2*'Multiplication factors'!$AC$8,2))</f>
        <v>16.239999999999998</v>
      </c>
      <c r="F26" s="8">
        <v>6.3399999999999998E-2</v>
      </c>
      <c r="G26" s="7">
        <f>IF(F26="","",ROUND(F26*2*'Multiplication factors'!$AG$8,2))</f>
        <v>2.5299999999999998</v>
      </c>
      <c r="H26" s="8">
        <v>0.1119</v>
      </c>
      <c r="I26" s="7">
        <f>IF(H26="","",ROUND(H26*2*'Multiplication factors'!$AK$8,2))</f>
        <v>3.69</v>
      </c>
    </row>
    <row r="27" spans="1:9" x14ac:dyDescent="0.35">
      <c r="A27" s="1">
        <v>25</v>
      </c>
      <c r="B27" s="8">
        <v>8.3599999999999994E-2</v>
      </c>
      <c r="C27" s="7">
        <f>IF(B27="","",ROUND(B27*2*'Multiplication factors'!$Y$8,2))</f>
        <v>1.57</v>
      </c>
      <c r="D27" s="8">
        <v>0.2311</v>
      </c>
      <c r="E27" s="7">
        <f>IF(D27="","",ROUND(D27*2*'Multiplication factors'!$AC$8,2))</f>
        <v>16.79</v>
      </c>
      <c r="F27" s="8">
        <v>6.2100000000000002E-2</v>
      </c>
      <c r="G27" s="7">
        <f>IF(F27="","",ROUND(F27*2*'Multiplication factors'!$AG$8,2))</f>
        <v>2.4700000000000002</v>
      </c>
      <c r="H27" s="8">
        <v>0.1759</v>
      </c>
      <c r="I27" s="7">
        <f>IF(H27="","",ROUND(H27*2*'Multiplication factors'!$AK$8,2))</f>
        <v>5.8</v>
      </c>
    </row>
    <row r="28" spans="1:9" x14ac:dyDescent="0.35">
      <c r="A28" s="1">
        <v>26</v>
      </c>
      <c r="B28" s="8">
        <v>7.2999999999999995E-2</v>
      </c>
      <c r="C28" s="7">
        <f>IF(B28="","",ROUND(B28*2*'Multiplication factors'!$Y$8,2))</f>
        <v>1.37</v>
      </c>
      <c r="D28" s="8">
        <v>0.21609999999999999</v>
      </c>
      <c r="E28" s="7">
        <f>IF(D28="","",ROUND(D28*2*'Multiplication factors'!$AC$8,2))</f>
        <v>15.7</v>
      </c>
      <c r="F28" s="8">
        <v>4.5600000000000002E-2</v>
      </c>
      <c r="G28" s="7">
        <f>IF(F28="","",ROUND(F28*2*'Multiplication factors'!$AG$8,2))</f>
        <v>1.82</v>
      </c>
      <c r="H28" s="8">
        <v>5.2900000000000003E-2</v>
      </c>
      <c r="I28" s="7">
        <f>IF(H28="","",ROUND(H28*2*'Multiplication factors'!$AK$8,2))</f>
        <v>1.74</v>
      </c>
    </row>
    <row r="29" spans="1:9" x14ac:dyDescent="0.35">
      <c r="A29" s="1">
        <v>27</v>
      </c>
      <c r="B29" s="8">
        <v>5.8299999999999998E-2</v>
      </c>
      <c r="C29" s="7">
        <f>IF(B29="","",ROUND(B29*2*'Multiplication factors'!$Y$8,2))</f>
        <v>1.0900000000000001</v>
      </c>
      <c r="D29" s="8">
        <v>0.19650000000000001</v>
      </c>
      <c r="E29" s="7">
        <f>IF(D29="","",ROUND(D29*2*'Multiplication factors'!$AC$8,2))</f>
        <v>14.27</v>
      </c>
      <c r="F29" s="8">
        <v>3.0300000000000001E-2</v>
      </c>
      <c r="G29" s="7">
        <f>IF(F29="","",ROUND(F29*2*'Multiplication factors'!$AG$8,2))</f>
        <v>1.21</v>
      </c>
      <c r="H29" s="8">
        <v>0.37569999999999998</v>
      </c>
      <c r="I29" s="7">
        <f>IF(H29="","",ROUND(H29*2*'Multiplication factors'!$AK$8,2))</f>
        <v>12.39</v>
      </c>
    </row>
    <row r="30" spans="1:9" x14ac:dyDescent="0.35">
      <c r="A30" s="1">
        <v>28</v>
      </c>
      <c r="B30" s="8">
        <v>7.8600000000000003E-2</v>
      </c>
      <c r="C30" s="7">
        <f>IF(B30="","",ROUND(B30*2*'Multiplication factors'!$Y$8,2))</f>
        <v>1.47</v>
      </c>
      <c r="D30" s="8">
        <v>0.18740000000000001</v>
      </c>
      <c r="E30" s="7">
        <f>IF(D30="","",ROUND(D30*2*'Multiplication factors'!$AC$8,2))</f>
        <v>13.61</v>
      </c>
      <c r="F30" s="8">
        <v>1.1583000000000001</v>
      </c>
      <c r="G30" s="7">
        <f>IF(F30="","",ROUND(F30*2*'Multiplication factors'!$AG$8,2))</f>
        <v>46.16</v>
      </c>
      <c r="H30" s="8">
        <v>2.4299999999999999E-2</v>
      </c>
      <c r="I30" s="7">
        <f>IF(H30="","",ROUND(H30*2*'Multiplication factors'!$AK$8,2))</f>
        <v>0.8</v>
      </c>
    </row>
    <row r="31" spans="1:9" x14ac:dyDescent="0.35">
      <c r="A31" s="1">
        <v>29</v>
      </c>
      <c r="B31" s="8">
        <v>6.2300000000000001E-2</v>
      </c>
      <c r="C31" s="7">
        <f>IF(B31="","",ROUND(B31*2*'Multiplication factors'!$Y$8,2))</f>
        <v>1.17</v>
      </c>
      <c r="D31" s="8">
        <v>0.2452</v>
      </c>
      <c r="E31" s="7">
        <f>IF(D31="","",ROUND(D31*2*'Multiplication factors'!$AC$8,2))</f>
        <v>17.809999999999999</v>
      </c>
      <c r="F31" s="8">
        <v>1.1392</v>
      </c>
      <c r="G31" s="7">
        <f>IF(F31="","",ROUND(F31*2*'Multiplication factors'!$AG$8,2))</f>
        <v>45.4</v>
      </c>
      <c r="H31" s="8">
        <v>2.01E-2</v>
      </c>
      <c r="I31" s="7">
        <f>IF(H31="","",ROUND(H31*2*'Multiplication factors'!$AK$8,2))</f>
        <v>0.66</v>
      </c>
    </row>
    <row r="32" spans="1:9" x14ac:dyDescent="0.35">
      <c r="A32" s="1">
        <v>30</v>
      </c>
      <c r="B32" s="8">
        <v>7.4099999999999999E-2</v>
      </c>
      <c r="C32" s="7">
        <f>IF(B32="","",ROUND(B32*2*'Multiplication factors'!$Y$8,2))</f>
        <v>1.39</v>
      </c>
      <c r="D32" s="8">
        <v>0.1769</v>
      </c>
      <c r="E32" s="7">
        <f>IF(D32="","",ROUND(D32*2*'Multiplication factors'!$AC$8,2))</f>
        <v>12.85</v>
      </c>
      <c r="F32" s="8">
        <v>1.0826</v>
      </c>
      <c r="G32" s="7">
        <f>IF(F32="","",ROUND(F32*2*'Multiplication factors'!$AG$8,2))</f>
        <v>43.14</v>
      </c>
      <c r="H32" s="8">
        <v>3.27E-2</v>
      </c>
      <c r="I32" s="7">
        <f>IF(H32="","",ROUND(H32*2*'Multiplication factors'!$AK$8,2))</f>
        <v>1.08</v>
      </c>
    </row>
    <row r="33" spans="1:9" x14ac:dyDescent="0.35">
      <c r="A33" s="1">
        <v>31</v>
      </c>
      <c r="B33" s="8">
        <v>8.9300000000000004E-2</v>
      </c>
      <c r="C33" s="7">
        <f>IF(B33="","",ROUND(B33*2*'Multiplication factors'!$Y$8,2))</f>
        <v>1.68</v>
      </c>
      <c r="D33" s="8">
        <v>0.122</v>
      </c>
      <c r="E33" s="7">
        <f>IF(D33="","",ROUND(D33*2*'Multiplication factors'!$AC$8,2))</f>
        <v>8.86</v>
      </c>
      <c r="F33" s="8">
        <v>0.55130000000000001</v>
      </c>
      <c r="G33" s="7">
        <f>IF(F33="","",ROUND(F33*2*'Multiplication factors'!$AG$8,2))</f>
        <v>21.97</v>
      </c>
      <c r="H33" s="8">
        <v>0.91900000000000004</v>
      </c>
      <c r="I33" s="7">
        <f>IF(H33="","",ROUND(H33*2*'Multiplication factors'!$AK$8,2))</f>
        <v>30.31</v>
      </c>
    </row>
    <row r="34" spans="1:9" x14ac:dyDescent="0.35">
      <c r="A34" s="1">
        <v>32</v>
      </c>
      <c r="B34" s="8">
        <v>7.3599999999999999E-2</v>
      </c>
      <c r="C34" s="7">
        <f>IF(B34="","",ROUND(B34*2*'Multiplication factors'!$Y$8,2))</f>
        <v>1.38</v>
      </c>
      <c r="D34" s="8">
        <v>0.1135</v>
      </c>
      <c r="E34" s="7">
        <f>IF(D34="","",ROUND(D34*2*'Multiplication factors'!$AC$8,2))</f>
        <v>8.24</v>
      </c>
      <c r="F34" s="8">
        <v>0.54020000000000001</v>
      </c>
      <c r="G34" s="7">
        <f>IF(F34="","",ROUND(F34*2*'Multiplication factors'!$AG$8,2))</f>
        <v>21.53</v>
      </c>
      <c r="H34" s="8">
        <v>8.0699999999999994E-2</v>
      </c>
      <c r="I34" s="7">
        <f>IF(H34="","",ROUND(H34*2*'Multiplication factors'!$AK$8,2))</f>
        <v>2.66</v>
      </c>
    </row>
    <row r="35" spans="1:9" x14ac:dyDescent="0.35">
      <c r="A35" s="1">
        <v>33</v>
      </c>
      <c r="B35" s="8">
        <v>7.1800000000000003E-2</v>
      </c>
      <c r="C35" s="7">
        <f>IF(B35="","",ROUND(B35*2*'Multiplication factors'!$Y$8,2))</f>
        <v>1.35</v>
      </c>
      <c r="D35" s="8">
        <v>0.12690000000000001</v>
      </c>
      <c r="E35" s="7">
        <f>IF(D35="","",ROUND(D35*2*'Multiplication factors'!$AC$8,2))</f>
        <v>9.2200000000000006</v>
      </c>
      <c r="F35" s="8">
        <v>0.52249999999999996</v>
      </c>
      <c r="G35" s="7">
        <f>IF(F35="","",ROUND(F35*2*'Multiplication factors'!$AG$8,2))</f>
        <v>20.82</v>
      </c>
      <c r="H35" s="8">
        <v>0.11020000000000001</v>
      </c>
      <c r="I35" s="7">
        <f>IF(H35="","",ROUND(H35*2*'Multiplication factors'!$AK$8,2))</f>
        <v>3.64</v>
      </c>
    </row>
    <row r="36" spans="1:9" x14ac:dyDescent="0.35">
      <c r="A36" s="1">
        <v>34</v>
      </c>
      <c r="B36" s="8">
        <v>5.9499999999999997E-2</v>
      </c>
      <c r="C36" s="7">
        <f>IF(B36="","",ROUND(B36*2*'Multiplication factors'!$Y$8,2))</f>
        <v>1.1200000000000001</v>
      </c>
      <c r="D36" s="8">
        <v>0.1132</v>
      </c>
      <c r="E36" s="7">
        <f>IF(D36="","",ROUND(D36*2*'Multiplication factors'!$AC$8,2))</f>
        <v>8.2200000000000006</v>
      </c>
      <c r="F36" s="8">
        <v>0.54759999999999998</v>
      </c>
      <c r="G36" s="7">
        <f>IF(F36="","",ROUND(F36*2*'Multiplication factors'!$AG$8,2))</f>
        <v>21.82</v>
      </c>
      <c r="H36" s="8">
        <v>8.2199999999999995E-2</v>
      </c>
      <c r="I36" s="7">
        <f>IF(H36="","",ROUND(H36*2*'Multiplication factors'!$AK$8,2))</f>
        <v>2.71</v>
      </c>
    </row>
    <row r="37" spans="1:9" x14ac:dyDescent="0.35">
      <c r="A37" s="1">
        <v>35</v>
      </c>
      <c r="B37" s="8">
        <v>8.5300000000000001E-2</v>
      </c>
      <c r="C37" s="7">
        <f>IF(B37="","",ROUND(B37*2*'Multiplication factors'!$Y$8,2))</f>
        <v>1.6</v>
      </c>
      <c r="D37" s="8">
        <v>0.1205</v>
      </c>
      <c r="E37" s="7">
        <f>IF(D37="","",ROUND(D37*2*'Multiplication factors'!$AC$8,2))</f>
        <v>8.75</v>
      </c>
      <c r="F37" s="8">
        <v>0.55130000000000001</v>
      </c>
      <c r="G37" s="7">
        <f>IF(F37="","",ROUND(F37*2*'Multiplication factors'!$AG$8,2))</f>
        <v>21.97</v>
      </c>
      <c r="H37" s="8">
        <v>0.20269999999999999</v>
      </c>
      <c r="I37" s="7">
        <f>IF(H37="","",ROUND(H37*2*'Multiplication factors'!$AK$8,2))</f>
        <v>6.69</v>
      </c>
    </row>
    <row r="38" spans="1:9" x14ac:dyDescent="0.35">
      <c r="A38" s="1">
        <v>36</v>
      </c>
      <c r="B38" s="8">
        <v>7.9899999999999999E-2</v>
      </c>
      <c r="C38" s="7">
        <f>IF(B38="","",ROUND(B38*2*'Multiplication factors'!$Y$8,2))</f>
        <v>1.5</v>
      </c>
      <c r="D38" s="8">
        <v>0.1103</v>
      </c>
      <c r="E38" s="7">
        <f>IF(D38="","",ROUND(D38*2*'Multiplication factors'!$AC$8,2))</f>
        <v>8.01</v>
      </c>
      <c r="F38" s="8">
        <v>0.52059999999999995</v>
      </c>
      <c r="G38" s="7">
        <f>IF(F38="","",ROUND(F38*2*'Multiplication factors'!$AG$8,2))</f>
        <v>20.75</v>
      </c>
      <c r="H38" s="8">
        <v>8.5599999999999996E-2</v>
      </c>
      <c r="I38" s="7">
        <f>IF(H38="","",ROUND(H38*2*'Multiplication factors'!$AK$8,2))</f>
        <v>2.82</v>
      </c>
    </row>
    <row r="39" spans="1:9" x14ac:dyDescent="0.35">
      <c r="A39" s="1">
        <v>37</v>
      </c>
      <c r="B39" s="8">
        <v>7.2300000000000003E-2</v>
      </c>
      <c r="C39" s="7">
        <f>IF(B39="","",ROUND(B39*2*'Multiplication factors'!$Y$8,2))</f>
        <v>1.36</v>
      </c>
      <c r="D39" s="8">
        <v>0.1177</v>
      </c>
      <c r="E39" s="7">
        <f>IF(D39="","",ROUND(D39*2*'Multiplication factors'!$AC$8,2))</f>
        <v>8.5500000000000007</v>
      </c>
      <c r="F39" s="8">
        <v>0.49099999999999999</v>
      </c>
      <c r="G39" s="7">
        <f>IF(F39="","",ROUND(F39*2*'Multiplication factors'!$AG$8,2))</f>
        <v>19.57</v>
      </c>
      <c r="H39" s="8">
        <v>0.10349999999999999</v>
      </c>
      <c r="I39" s="7">
        <f>IF(H39="","",ROUND(H39*2*'Multiplication factors'!$AK$8,2))</f>
        <v>3.41</v>
      </c>
    </row>
    <row r="40" spans="1:9" x14ac:dyDescent="0.35">
      <c r="A40" s="1">
        <v>38</v>
      </c>
      <c r="B40" s="8">
        <v>7.5999999999999998E-2</v>
      </c>
      <c r="C40" s="7">
        <f>IF(B40="","",ROUND(B40*2*'Multiplication factors'!$Y$8,2))</f>
        <v>1.43</v>
      </c>
      <c r="D40" s="8">
        <v>0.1221</v>
      </c>
      <c r="E40" s="7">
        <f>IF(D40="","",ROUND(D40*2*'Multiplication factors'!$AC$8,2))</f>
        <v>8.8699999999999992</v>
      </c>
      <c r="F40" s="8">
        <v>0.53200000000000003</v>
      </c>
      <c r="G40" s="7">
        <f>IF(F40="","",ROUND(F40*2*'Multiplication factors'!$AG$8,2))</f>
        <v>21.2</v>
      </c>
      <c r="H40" s="8">
        <v>0.3574</v>
      </c>
      <c r="I40" s="7">
        <f>IF(H40="","",ROUND(H40*2*'Multiplication factors'!$AK$8,2))</f>
        <v>11.79</v>
      </c>
    </row>
    <row r="41" spans="1:9" x14ac:dyDescent="0.35">
      <c r="A41" s="1">
        <v>39</v>
      </c>
      <c r="B41" s="8">
        <v>4.53E-2</v>
      </c>
      <c r="C41" s="7">
        <f>IF(B41="","",ROUND(B41*2*'Multiplication factors'!$Y$8,2))</f>
        <v>0.85</v>
      </c>
      <c r="D41" s="8">
        <v>0.11210000000000001</v>
      </c>
      <c r="E41" s="7">
        <f>IF(D41="","",ROUND(D41*2*'Multiplication factors'!$AC$8,2))</f>
        <v>8.14</v>
      </c>
      <c r="F41" s="8">
        <v>0.50839999999999996</v>
      </c>
      <c r="G41" s="7">
        <f>IF(F41="","",ROUND(F41*2*'Multiplication factors'!$AG$8,2))</f>
        <v>20.260000000000002</v>
      </c>
      <c r="H41" s="8">
        <v>0.1305</v>
      </c>
      <c r="I41" s="7">
        <f>IF(H41="","",ROUND(H41*2*'Multiplication factors'!$AK$8,2))</f>
        <v>4.3</v>
      </c>
    </row>
    <row r="42" spans="1:9" x14ac:dyDescent="0.35">
      <c r="A42" s="1">
        <v>40</v>
      </c>
      <c r="B42" s="8">
        <v>4.24E-2</v>
      </c>
      <c r="C42" s="7">
        <f>IF(B42="","",ROUND(B42*2*'Multiplication factors'!$Y$8,2))</f>
        <v>0.8</v>
      </c>
      <c r="D42" s="8">
        <v>0.10680000000000001</v>
      </c>
      <c r="E42" s="7">
        <f>IF(D42="","",ROUND(D42*2*'Multiplication factors'!$AC$8,2))</f>
        <v>7.76</v>
      </c>
      <c r="F42" s="8">
        <v>0.53380000000000005</v>
      </c>
      <c r="G42" s="7">
        <f>IF(F42="","",ROUND(F42*2*'Multiplication factors'!$AG$8,2))</f>
        <v>21.27</v>
      </c>
      <c r="H42" s="8">
        <v>9.4899999999999998E-2</v>
      </c>
      <c r="I42" s="7">
        <f>IF(H42="","",ROUND(H42*2*'Multiplication factors'!$AK$8,2))</f>
        <v>3.13</v>
      </c>
    </row>
    <row r="43" spans="1:9" x14ac:dyDescent="0.35">
      <c r="A43" s="1">
        <v>41</v>
      </c>
      <c r="B43" s="8">
        <v>6.0199999999999997E-2</v>
      </c>
      <c r="C43" s="7">
        <f>IF(B43="","",ROUND(B43*2*'Multiplication factors'!$Y$8,2))</f>
        <v>1.1299999999999999</v>
      </c>
      <c r="D43" s="8">
        <v>0.11550000000000001</v>
      </c>
      <c r="E43" s="7">
        <f>IF(D43="","",ROUND(D43*2*'Multiplication factors'!$AC$8,2))</f>
        <v>8.39</v>
      </c>
      <c r="F43" s="8">
        <v>0.57479999999999998</v>
      </c>
      <c r="G43" s="7">
        <f>IF(F43="","",ROUND(F43*2*'Multiplication factors'!$AG$8,2))</f>
        <v>22.91</v>
      </c>
      <c r="H43" s="8">
        <v>0.1032</v>
      </c>
      <c r="I43" s="7">
        <f>IF(H43="","",ROUND(H43*2*'Multiplication factors'!$AK$8,2))</f>
        <v>3.4</v>
      </c>
    </row>
    <row r="44" spans="1:9" x14ac:dyDescent="0.35">
      <c r="A44" s="1">
        <v>42</v>
      </c>
      <c r="B44" s="8">
        <v>5.28E-2</v>
      </c>
      <c r="C44" s="7">
        <f>IF(B44="","",ROUND(B44*2*'Multiplication factors'!$Y$8,2))</f>
        <v>0.99</v>
      </c>
      <c r="D44" s="8">
        <v>9.8199999999999996E-2</v>
      </c>
      <c r="E44" s="7">
        <f>IF(D44="","",ROUND(D44*2*'Multiplication factors'!$AC$8,2))</f>
        <v>7.13</v>
      </c>
      <c r="F44" s="8">
        <v>0.51019999999999999</v>
      </c>
      <c r="G44" s="7">
        <f>IF(F44="","",ROUND(F44*2*'Multiplication factors'!$AG$8,2))</f>
        <v>20.329999999999998</v>
      </c>
      <c r="H44" s="8">
        <v>0.1918</v>
      </c>
      <c r="I44" s="7">
        <f>IF(H44="","",ROUND(H44*2*'Multiplication factors'!$AK$8,2))</f>
        <v>6.33</v>
      </c>
    </row>
    <row r="45" spans="1:9" x14ac:dyDescent="0.35">
      <c r="A45" s="1">
        <v>43</v>
      </c>
      <c r="B45" s="8">
        <v>5.7299999999999997E-2</v>
      </c>
      <c r="C45" s="7">
        <f>IF(B45="","",ROUND(B45*2*'Multiplication factors'!$Y$8,2))</f>
        <v>1.08</v>
      </c>
      <c r="D45" s="8">
        <v>0.1009</v>
      </c>
      <c r="E45" s="7">
        <f>IF(D45="","",ROUND(D45*2*'Multiplication factors'!$AC$8,2))</f>
        <v>7.33</v>
      </c>
      <c r="F45" s="8">
        <v>0.53839999999999999</v>
      </c>
      <c r="G45" s="7">
        <f>IF(F45="","",ROUND(F45*2*'Multiplication factors'!$AG$8,2))</f>
        <v>21.46</v>
      </c>
      <c r="H45" s="8">
        <v>8.7400000000000005E-2</v>
      </c>
      <c r="I45" s="7">
        <f>IF(H45="","",ROUND(H45*2*'Multiplication factors'!$AK$8,2))</f>
        <v>2.88</v>
      </c>
    </row>
    <row r="46" spans="1:9" x14ac:dyDescent="0.35">
      <c r="A46" s="1">
        <v>44</v>
      </c>
      <c r="B46" s="8">
        <v>5.4600000000000003E-2</v>
      </c>
      <c r="C46" s="7">
        <f>IF(B46="","",ROUND(B46*2*'Multiplication factors'!$Y$8,2))</f>
        <v>1.02</v>
      </c>
      <c r="D46" s="8">
        <v>9.7299999999999998E-2</v>
      </c>
      <c r="E46" s="7">
        <f>IF(D46="","",ROUND(D46*2*'Multiplication factors'!$AC$8,2))</f>
        <v>7.07</v>
      </c>
      <c r="F46" s="8">
        <v>0.50249999999999995</v>
      </c>
      <c r="G46" s="7">
        <f>IF(F46="","",ROUND(F46*2*'Multiplication factors'!$AG$8,2))</f>
        <v>20.03</v>
      </c>
      <c r="H46" s="8">
        <v>0.16059999999999999</v>
      </c>
      <c r="I46" s="7">
        <f>IF(H46="","",ROUND(H46*2*'Multiplication factors'!$AK$8,2))</f>
        <v>5.3</v>
      </c>
    </row>
    <row r="47" spans="1:9" x14ac:dyDescent="0.35">
      <c r="A47" s="1">
        <v>45</v>
      </c>
      <c r="B47" s="8">
        <v>5.2499999999999998E-2</v>
      </c>
      <c r="C47" s="7">
        <f>IF(B47="","",ROUND(B47*2*'Multiplication factors'!$Y$8,2))</f>
        <v>0.99</v>
      </c>
      <c r="D47" s="8">
        <v>8.3599999999999994E-2</v>
      </c>
      <c r="E47" s="7">
        <f>IF(D47="","",ROUND(D47*2*'Multiplication factors'!$AC$8,2))</f>
        <v>6.07</v>
      </c>
      <c r="F47" s="8">
        <v>0.52990000000000004</v>
      </c>
      <c r="G47" s="7">
        <f>IF(F47="","",ROUND(F47*2*'Multiplication factors'!$AG$8,2))</f>
        <v>21.12</v>
      </c>
      <c r="H47" s="8">
        <v>8.2400000000000001E-2</v>
      </c>
      <c r="I47" s="7">
        <f>IF(H47="","",ROUND(H47*2*'Multiplication factors'!$AK$8,2))</f>
        <v>2.72</v>
      </c>
    </row>
    <row r="48" spans="1:9" x14ac:dyDescent="0.35">
      <c r="A48" s="1">
        <v>46</v>
      </c>
      <c r="B48" s="8">
        <v>0.1129</v>
      </c>
      <c r="C48" s="7">
        <f>IF(B48="","",ROUND(B48*2*'Multiplication factors'!$Y$8,2))</f>
        <v>2.12</v>
      </c>
      <c r="D48" s="8">
        <v>0.1024</v>
      </c>
      <c r="E48" s="7">
        <f>IF(D48="","",ROUND(D48*2*'Multiplication factors'!$AC$8,2))</f>
        <v>7.44</v>
      </c>
      <c r="F48" s="8">
        <v>0.48480000000000001</v>
      </c>
      <c r="G48" s="7">
        <f>IF(F48="","",ROUND(F48*2*'Multiplication factors'!$AG$8,2))</f>
        <v>19.32</v>
      </c>
      <c r="H48" s="8">
        <v>0.14879999999999999</v>
      </c>
      <c r="I48" s="7">
        <f>IF(H48="","",ROUND(H48*2*'Multiplication factors'!$AK$8,2))</f>
        <v>4.91</v>
      </c>
    </row>
    <row r="49" spans="1:9" x14ac:dyDescent="0.35">
      <c r="A49" s="1">
        <v>47</v>
      </c>
      <c r="B49" s="8">
        <v>5.7200000000000001E-2</v>
      </c>
      <c r="C49" s="7">
        <f>IF(B49="","",ROUND(B49*2*'Multiplication factors'!$Y$8,2))</f>
        <v>1.07</v>
      </c>
      <c r="D49" s="8">
        <v>0.10009999999999999</v>
      </c>
      <c r="E49" s="7">
        <f>IF(D49="","",ROUND(D49*2*'Multiplication factors'!$AC$8,2))</f>
        <v>7.27</v>
      </c>
      <c r="F49" s="8">
        <v>0.54859999999999998</v>
      </c>
      <c r="G49" s="7">
        <f>IF(F49="","",ROUND(F49*2*'Multiplication factors'!$AG$8,2))</f>
        <v>21.86</v>
      </c>
      <c r="H49" s="8">
        <v>0.30359999999999998</v>
      </c>
      <c r="I49" s="7">
        <f>IF(H49="","",ROUND(H49*2*'Multiplication factors'!$AK$8,2))</f>
        <v>10.01</v>
      </c>
    </row>
    <row r="50" spans="1:9" x14ac:dyDescent="0.35">
      <c r="A50" s="1">
        <v>48</v>
      </c>
      <c r="B50" s="8">
        <v>5.2400000000000002E-2</v>
      </c>
      <c r="C50" s="7">
        <f>IF(B50="","",ROUND(B50*2*'Multiplication factors'!$Y$8,2))</f>
        <v>0.98</v>
      </c>
      <c r="D50" s="8">
        <v>8.9300000000000004E-2</v>
      </c>
      <c r="E50" s="7">
        <f>IF(D50="","",ROUND(D50*2*'Multiplication factors'!$AC$8,2))</f>
        <v>6.49</v>
      </c>
      <c r="F50" s="8">
        <v>0.45300000000000001</v>
      </c>
      <c r="G50" s="7">
        <f>IF(F50="","",ROUND(F50*2*'Multiplication factors'!$AG$8,2))</f>
        <v>18.05</v>
      </c>
      <c r="H50" s="8">
        <v>9.9699999999999997E-2</v>
      </c>
      <c r="I50" s="7">
        <f>IF(H50="","",ROUND(H50*2*'Multiplication factors'!$AK$8,2))</f>
        <v>3.29</v>
      </c>
    </row>
    <row r="51" spans="1:9" x14ac:dyDescent="0.35">
      <c r="A51" s="1">
        <v>49</v>
      </c>
      <c r="B51" s="8">
        <v>4.24E-2</v>
      </c>
      <c r="C51" s="7">
        <f>IF(B51="","",ROUND(B51*2*'Multiplication factors'!$Y$8,2))</f>
        <v>0.8</v>
      </c>
      <c r="D51" s="8">
        <v>0.05</v>
      </c>
      <c r="E51" s="7">
        <f>IF(D51="","",ROUND(D51*2*'Multiplication factors'!$AC$8,2))</f>
        <v>3.63</v>
      </c>
      <c r="F51" s="8">
        <v>1.8E-3</v>
      </c>
      <c r="G51" s="7">
        <f>IF(F51="","",ROUND(F51*2*'Multiplication factors'!$AG$8,2))</f>
        <v>7.0000000000000007E-2</v>
      </c>
      <c r="H51" s="8">
        <v>2E-3</v>
      </c>
      <c r="I51" s="7">
        <f>IF(H51="","",ROUND(H51*2*'Multiplication factors'!$AK$8,2))</f>
        <v>7.0000000000000007E-2</v>
      </c>
    </row>
    <row r="52" spans="1:9" x14ac:dyDescent="0.35">
      <c r="A52" s="1">
        <v>50</v>
      </c>
      <c r="B52" s="8">
        <v>6.0199999999999997E-2</v>
      </c>
      <c r="C52" s="7">
        <f>IF(B52="","",ROUND(B52*2*'Multiplication factors'!$Y$8,2))</f>
        <v>1.1299999999999999</v>
      </c>
      <c r="D52" s="8">
        <v>9.2899999999999996E-2</v>
      </c>
      <c r="E52" s="7">
        <f>IF(D52="","",ROUND(D52*2*'Multiplication factors'!$AC$8,2))</f>
        <v>6.75</v>
      </c>
      <c r="F52" s="8">
        <v>0.42520000000000002</v>
      </c>
      <c r="G52" s="7">
        <f>IF(F52="","",ROUND(F52*2*'Multiplication factors'!$AG$8,2))</f>
        <v>16.95</v>
      </c>
      <c r="H52" s="8">
        <v>0.3271</v>
      </c>
      <c r="I52" s="7">
        <f>IF(H52="","",ROUND(H52*2*'Multiplication factors'!$AK$8,2))</f>
        <v>10.79</v>
      </c>
    </row>
    <row r="53" spans="1:9" x14ac:dyDescent="0.35">
      <c r="A53" s="1">
        <v>51</v>
      </c>
      <c r="B53" s="8">
        <v>0.15229999999999999</v>
      </c>
      <c r="C53" s="7">
        <f>IF(B53="","",ROUND(B53*2*'Multiplication factors'!$Y$8,2))</f>
        <v>2.86</v>
      </c>
      <c r="D53" s="8">
        <v>8.8200000000000001E-2</v>
      </c>
      <c r="E53" s="7">
        <f>IF(D53="","",ROUND(D53*2*'Multiplication factors'!$AC$8,2))</f>
        <v>6.41</v>
      </c>
      <c r="F53" s="8">
        <v>0.4708</v>
      </c>
      <c r="G53" s="7">
        <f>IF(F53="","",ROUND(F53*2*'Multiplication factors'!$AG$8,2))</f>
        <v>18.760000000000002</v>
      </c>
      <c r="H53" s="8">
        <v>0.12690000000000001</v>
      </c>
      <c r="I53" s="7">
        <f>IF(H53="","",ROUND(H53*2*'Multiplication factors'!$AK$8,2))</f>
        <v>4.1900000000000004</v>
      </c>
    </row>
    <row r="54" spans="1:9" x14ac:dyDescent="0.35">
      <c r="A54" s="1">
        <v>52</v>
      </c>
      <c r="B54" s="8">
        <v>5.6899999999999999E-2</v>
      </c>
      <c r="C54" s="7">
        <f>IF(B54="","",ROUND(B54*2*'Multiplication factors'!$Y$8,2))</f>
        <v>1.07</v>
      </c>
      <c r="D54" s="8">
        <v>8.2600000000000007E-2</v>
      </c>
      <c r="E54" s="7">
        <f>IF(D54="","",ROUND(D54*2*'Multiplication factors'!$AC$8,2))</f>
        <v>6</v>
      </c>
      <c r="F54" s="8">
        <v>0.434</v>
      </c>
      <c r="G54" s="7">
        <f>IF(F54="","",ROUND(F54*2*'Multiplication factors'!$AG$8,2))</f>
        <v>17.3</v>
      </c>
      <c r="H54" s="8">
        <v>8.9200000000000002E-2</v>
      </c>
      <c r="I54" s="7">
        <f>IF(H54="","",ROUND(H54*2*'Multiplication factors'!$AK$8,2))</f>
        <v>2.94</v>
      </c>
    </row>
    <row r="55" spans="1:9" x14ac:dyDescent="0.35">
      <c r="A55" s="1">
        <v>53</v>
      </c>
      <c r="B55" s="8">
        <v>0.1052</v>
      </c>
      <c r="C55" s="7">
        <f>IF(B55="","",ROUND(B55*2*'Multiplication factors'!$Y$8,2))</f>
        <v>1.97</v>
      </c>
      <c r="D55" s="8">
        <v>7.5999999999999998E-2</v>
      </c>
      <c r="E55" s="7">
        <f>IF(D55="","",ROUND(D55*2*'Multiplication factors'!$AC$8,2))</f>
        <v>5.52</v>
      </c>
      <c r="F55" s="8">
        <v>0.40460000000000002</v>
      </c>
      <c r="G55" s="7">
        <f>IF(F55="","",ROUND(F55*2*'Multiplication factors'!$AG$8,2))</f>
        <v>16.12</v>
      </c>
      <c r="H55" s="8">
        <v>7.9299999999999995E-2</v>
      </c>
      <c r="I55" s="7">
        <f>IF(H55="","",ROUND(H55*2*'Multiplication factors'!$AK$8,2))</f>
        <v>2.62</v>
      </c>
    </row>
    <row r="56" spans="1:9" x14ac:dyDescent="0.35">
      <c r="A56" s="1">
        <v>54</v>
      </c>
      <c r="B56" s="8">
        <v>7.2099999999999997E-2</v>
      </c>
      <c r="C56" s="7">
        <f>IF(B56="","",ROUND(B56*2*'Multiplication factors'!$Y$8,2))</f>
        <v>1.35</v>
      </c>
      <c r="D56" s="8">
        <v>7.2900000000000006E-2</v>
      </c>
      <c r="E56" s="7">
        <f>IF(D56="","",ROUND(D56*2*'Multiplication factors'!$AC$8,2))</f>
        <v>5.3</v>
      </c>
      <c r="F56" s="8">
        <v>0.43149999999999999</v>
      </c>
      <c r="G56" s="7">
        <f>IF(F56="","",ROUND(F56*2*'Multiplication factors'!$AG$8,2))</f>
        <v>17.2</v>
      </c>
      <c r="H56" s="8">
        <v>7.0800000000000002E-2</v>
      </c>
      <c r="I56" s="7">
        <f>IF(H56="","",ROUND(H56*2*'Multiplication factors'!$AK$8,2))</f>
        <v>2.34</v>
      </c>
    </row>
    <row r="57" spans="1:9" x14ac:dyDescent="0.35">
      <c r="A57" s="1">
        <v>55</v>
      </c>
      <c r="B57" s="8">
        <v>9.0200000000000002E-2</v>
      </c>
      <c r="C57" s="7">
        <f>IF(B57="","",ROUND(B57*2*'Multiplication factors'!$Y$8,2))</f>
        <v>1.69</v>
      </c>
      <c r="D57" s="8">
        <v>8.7300000000000003E-2</v>
      </c>
      <c r="E57" s="7">
        <f>IF(D57="","",ROUND(D57*2*'Multiplication factors'!$AC$8,2))</f>
        <v>6.34</v>
      </c>
      <c r="F57" s="8">
        <v>0.40699999999999997</v>
      </c>
      <c r="G57" s="7">
        <f>IF(F57="","",ROUND(F57*2*'Multiplication factors'!$AG$8,2))</f>
        <v>16.22</v>
      </c>
      <c r="H57" s="8">
        <v>8.3299999999999999E-2</v>
      </c>
      <c r="I57" s="7">
        <f>IF(H57="","",ROUND(H57*2*'Multiplication factors'!$AK$8,2))</f>
        <v>2.75</v>
      </c>
    </row>
    <row r="58" spans="1:9" x14ac:dyDescent="0.35">
      <c r="A58" s="1">
        <v>56</v>
      </c>
      <c r="B58" s="8">
        <v>7.3200000000000001E-2</v>
      </c>
      <c r="C58" s="7">
        <f>IF(B58="","",ROUND(B58*2*'Multiplication factors'!$Y$8,2))</f>
        <v>1.37</v>
      </c>
      <c r="D58" s="8">
        <v>8.9200000000000002E-2</v>
      </c>
      <c r="E58" s="7">
        <f>IF(D58="","",ROUND(D58*2*'Multiplication factors'!$AC$8,2))</f>
        <v>6.48</v>
      </c>
      <c r="F58" s="8">
        <v>0.36969999999999997</v>
      </c>
      <c r="G58" s="7">
        <f>IF(F58="","",ROUND(F58*2*'Multiplication factors'!$AG$8,2))</f>
        <v>14.73</v>
      </c>
      <c r="H58" s="8">
        <v>7.8100000000000003E-2</v>
      </c>
      <c r="I58" s="7">
        <f>IF(H58="","",ROUND(H58*2*'Multiplication factors'!$AK$8,2))</f>
        <v>2.58</v>
      </c>
    </row>
    <row r="59" spans="1:9" x14ac:dyDescent="0.35">
      <c r="A59" s="1">
        <v>57</v>
      </c>
      <c r="B59" s="8">
        <v>0.155</v>
      </c>
      <c r="C59" s="7">
        <f>IF(B59="","",ROUND(B59*2*'Multiplication factors'!$Y$8,2))</f>
        <v>2.91</v>
      </c>
      <c r="D59" s="8">
        <v>8.14E-2</v>
      </c>
      <c r="E59" s="7">
        <f>IF(D59="","",ROUND(D59*2*'Multiplication factors'!$AC$8,2))</f>
        <v>5.91</v>
      </c>
      <c r="F59" s="8">
        <v>0.40770000000000001</v>
      </c>
      <c r="G59" s="7">
        <f>IF(F59="","",ROUND(F59*2*'Multiplication factors'!$AG$8,2))</f>
        <v>16.25</v>
      </c>
      <c r="H59" s="8">
        <v>0.14030000000000001</v>
      </c>
      <c r="I59" s="7">
        <f>IF(H59="","",ROUND(H59*2*'Multiplication factors'!$AK$8,2))</f>
        <v>4.63</v>
      </c>
    </row>
    <row r="60" spans="1:9" x14ac:dyDescent="0.35">
      <c r="A60" s="1">
        <v>58</v>
      </c>
      <c r="B60" s="8">
        <v>7.3800000000000004E-2</v>
      </c>
      <c r="C60" s="7">
        <f>IF(B60="","",ROUND(B60*2*'Multiplication factors'!$Y$8,2))</f>
        <v>1.38</v>
      </c>
      <c r="D60" s="8">
        <v>7.7700000000000005E-2</v>
      </c>
      <c r="E60" s="7">
        <f>IF(D60="","",ROUND(D60*2*'Multiplication factors'!$AC$8,2))</f>
        <v>5.64</v>
      </c>
      <c r="F60" s="8">
        <v>0.37459999999999999</v>
      </c>
      <c r="G60" s="7">
        <f>IF(F60="","",ROUND(F60*2*'Multiplication factors'!$AG$8,2))</f>
        <v>14.93</v>
      </c>
      <c r="H60" s="8">
        <v>8.3699999999999997E-2</v>
      </c>
      <c r="I60" s="7">
        <f>IF(H60="","",ROUND(H60*2*'Multiplication factors'!$AK$8,2))</f>
        <v>2.76</v>
      </c>
    </row>
    <row r="61" spans="1:9" x14ac:dyDescent="0.35">
      <c r="A61" s="1">
        <v>59</v>
      </c>
      <c r="B61" s="8">
        <v>0.1777</v>
      </c>
      <c r="C61" s="7">
        <f>IF(B61="","",ROUND(B61*2*'Multiplication factors'!$Y$8,2))</f>
        <v>3.33</v>
      </c>
      <c r="D61" s="8">
        <v>9.11E-2</v>
      </c>
      <c r="E61" s="7">
        <f>IF(D61="","",ROUND(D61*2*'Multiplication factors'!$AC$8,2))</f>
        <v>6.62</v>
      </c>
      <c r="F61" s="8">
        <v>0.4229</v>
      </c>
      <c r="G61" s="7">
        <f>IF(F61="","",ROUND(F61*2*'Multiplication factors'!$AG$8,2))</f>
        <v>16.850000000000001</v>
      </c>
      <c r="H61" s="8">
        <v>0.2913</v>
      </c>
      <c r="I61" s="7">
        <f>IF(H61="","",ROUND(H61*2*'Multiplication factors'!$AK$8,2))</f>
        <v>9.61</v>
      </c>
    </row>
    <row r="62" spans="1:9" x14ac:dyDescent="0.35">
      <c r="A62" s="1">
        <v>60</v>
      </c>
      <c r="B62" s="8">
        <v>9.6100000000000005E-2</v>
      </c>
      <c r="C62" s="7">
        <f>IF(B62="","",ROUND(B62*2*'Multiplication factors'!$Y$8,2))</f>
        <v>1.8</v>
      </c>
      <c r="D62" s="8">
        <v>8.0699999999999994E-2</v>
      </c>
      <c r="E62" s="7">
        <f>IF(D62="","",ROUND(D62*2*'Multiplication factors'!$AC$8,2))</f>
        <v>5.86</v>
      </c>
      <c r="F62" s="8">
        <v>0.3735</v>
      </c>
      <c r="G62" s="7">
        <f>IF(F62="","",ROUND(F62*2*'Multiplication factors'!$AG$8,2))</f>
        <v>14.88</v>
      </c>
      <c r="H62" s="8">
        <v>0.1011</v>
      </c>
      <c r="I62" s="7">
        <f>IF(H62="","",ROUND(H62*2*'Multiplication factors'!$AK$8,2))</f>
        <v>3.33</v>
      </c>
    </row>
    <row r="63" spans="1:9" x14ac:dyDescent="0.35">
      <c r="A63" s="1">
        <v>61</v>
      </c>
      <c r="B63" s="8">
        <v>9.3399999999999997E-2</v>
      </c>
      <c r="C63" s="7">
        <f>IF(B63="","",ROUND(B63*2*'Multiplication factors'!$Y$8,2))</f>
        <v>1.75</v>
      </c>
      <c r="D63" s="8">
        <v>8.4500000000000006E-2</v>
      </c>
      <c r="E63" s="7">
        <f>IF(D63="","",ROUND(D63*2*'Multiplication factors'!$AC$8,2))</f>
        <v>6.14</v>
      </c>
      <c r="F63" s="8">
        <v>0.55310000000000004</v>
      </c>
      <c r="G63" s="7">
        <f>IF(F63="","",ROUND(F63*2*'Multiplication factors'!$AG$8,2))</f>
        <v>22.04</v>
      </c>
      <c r="H63" s="8">
        <v>7.4800000000000005E-2</v>
      </c>
      <c r="I63" s="7">
        <f>IF(H63="","",ROUND(H63*2*'Multiplication factors'!$AK$8,2))</f>
        <v>2.4700000000000002</v>
      </c>
    </row>
    <row r="64" spans="1:9" x14ac:dyDescent="0.35">
      <c r="A64" s="1">
        <v>62</v>
      </c>
      <c r="B64" s="8">
        <v>7.4800000000000005E-2</v>
      </c>
      <c r="C64" s="7">
        <f>IF(B64="","",ROUND(B64*2*'Multiplication factors'!$Y$8,2))</f>
        <v>1.4</v>
      </c>
      <c r="D64" s="8">
        <v>9.69E-2</v>
      </c>
      <c r="E64" s="7">
        <f>IF(D64="","",ROUND(D64*2*'Multiplication factors'!$AC$8,2))</f>
        <v>7.04</v>
      </c>
      <c r="F64" s="8">
        <v>0.56769999999999998</v>
      </c>
      <c r="G64" s="7">
        <f>IF(F64="","",ROUND(F64*2*'Multiplication factors'!$AG$8,2))</f>
        <v>22.62</v>
      </c>
      <c r="H64" s="8">
        <v>8.5400000000000004E-2</v>
      </c>
      <c r="I64" s="7">
        <f>IF(H64="","",ROUND(H64*2*'Multiplication factors'!$AK$8,2))</f>
        <v>2.82</v>
      </c>
    </row>
    <row r="65" spans="1:9" x14ac:dyDescent="0.35">
      <c r="A65" s="1">
        <v>63</v>
      </c>
      <c r="B65" s="8">
        <v>6.7699999999999996E-2</v>
      </c>
      <c r="C65" s="7">
        <f>IF(B65="","",ROUND(B65*2*'Multiplication factors'!$Y$8,2))</f>
        <v>1.27</v>
      </c>
      <c r="D65" s="8">
        <v>7.1400000000000005E-2</v>
      </c>
      <c r="E65" s="7">
        <f>IF(D65="","",ROUND(D65*2*'Multiplication factors'!$AC$8,2))</f>
        <v>5.19</v>
      </c>
      <c r="F65" s="8">
        <v>0.49120000000000003</v>
      </c>
      <c r="G65" s="7">
        <f>IF(F65="","",ROUND(F65*2*'Multiplication factors'!$AG$8,2))</f>
        <v>19.579999999999998</v>
      </c>
      <c r="H65" s="8">
        <v>5.9400000000000001E-2</v>
      </c>
      <c r="I65" s="7">
        <f>IF(H65="","",ROUND(H65*2*'Multiplication factors'!$AK$8,2))</f>
        <v>1.96</v>
      </c>
    </row>
    <row r="66" spans="1:9" x14ac:dyDescent="0.35">
      <c r="A66" s="1">
        <v>64</v>
      </c>
      <c r="B66" s="8">
        <v>5.5E-2</v>
      </c>
      <c r="C66" s="7">
        <f>IF(B66="","",ROUND(B66*2*'Multiplication factors'!$Y$8,2))</f>
        <v>1.03</v>
      </c>
      <c r="D66" s="8">
        <v>7.1800000000000003E-2</v>
      </c>
      <c r="E66" s="7">
        <f>IF(D66="","",ROUND(D66*2*'Multiplication factors'!$AC$8,2))</f>
        <v>5.22</v>
      </c>
      <c r="F66" s="8">
        <v>0.48659999999999998</v>
      </c>
      <c r="G66" s="7">
        <f>IF(F66="","",ROUND(F66*2*'Multiplication factors'!$AG$8,2))</f>
        <v>19.39</v>
      </c>
      <c r="H66" s="8">
        <v>5.7200000000000001E-2</v>
      </c>
      <c r="I66" s="7">
        <f>IF(H66="","",ROUND(H66*2*'Multiplication factors'!$AK$8,2))</f>
        <v>1.89</v>
      </c>
    </row>
    <row r="67" spans="1:9" x14ac:dyDescent="0.35">
      <c r="A67" s="1">
        <v>65</v>
      </c>
      <c r="B67" s="8">
        <v>8.5300000000000001E-2</v>
      </c>
      <c r="C67" s="7">
        <f>IF(B67="","",ROUND(B67*2*'Multiplication factors'!$Y$8,2))</f>
        <v>1.6</v>
      </c>
      <c r="D67" s="8">
        <v>6.6400000000000001E-2</v>
      </c>
      <c r="E67" s="7">
        <f>IF(D67="","",ROUND(D67*2*'Multiplication factors'!$AC$8,2))</f>
        <v>4.82</v>
      </c>
      <c r="F67" s="8">
        <v>0.4965</v>
      </c>
      <c r="G67" s="7">
        <f>IF(F67="","",ROUND(F67*2*'Multiplication factors'!$AG$8,2))</f>
        <v>19.79</v>
      </c>
      <c r="H67" s="8">
        <v>7.5499999999999998E-2</v>
      </c>
      <c r="I67" s="7">
        <f>IF(H67="","",ROUND(H67*2*'Multiplication factors'!$AK$8,2))</f>
        <v>2.4900000000000002</v>
      </c>
    </row>
    <row r="68" spans="1:9" x14ac:dyDescent="0.35">
      <c r="A68" s="1">
        <v>66</v>
      </c>
      <c r="B68" s="8">
        <v>6.3200000000000006E-2</v>
      </c>
      <c r="C68" s="7">
        <f>IF(B68="","",ROUND(B68*2*'Multiplication factors'!$Y$8,2))</f>
        <v>1.19</v>
      </c>
      <c r="D68" s="8">
        <v>6.3200000000000006E-2</v>
      </c>
      <c r="E68" s="7">
        <f>IF(D68="","",ROUND(D68*2*'Multiplication factors'!$AC$8,2))</f>
        <v>4.59</v>
      </c>
      <c r="F68" s="8">
        <v>0.47239999999999999</v>
      </c>
      <c r="G68" s="7">
        <f>IF(F68="","",ROUND(F68*2*'Multiplication factors'!$AG$8,2))</f>
        <v>18.829999999999998</v>
      </c>
      <c r="H68" s="8">
        <v>6.4699999999999994E-2</v>
      </c>
      <c r="I68" s="7">
        <f>IF(H68="","",ROUND(H68*2*'Multiplication factors'!$AK$8,2))</f>
        <v>2.13</v>
      </c>
    </row>
    <row r="69" spans="1:9" x14ac:dyDescent="0.35">
      <c r="A69" s="1">
        <v>67</v>
      </c>
      <c r="B69" s="8">
        <v>5.6500000000000002E-2</v>
      </c>
      <c r="C69" s="7">
        <f>IF(B69="","",ROUND(B69*2*'Multiplication factors'!$Y$8,2))</f>
        <v>1.06</v>
      </c>
      <c r="D69" s="8">
        <v>0.1143</v>
      </c>
      <c r="E69" s="7">
        <f>IF(D69="","",ROUND(D69*2*'Multiplication factors'!$AC$8,2))</f>
        <v>8.3000000000000007</v>
      </c>
      <c r="F69" s="8">
        <v>0.52629999999999999</v>
      </c>
      <c r="G69" s="7">
        <f>IF(F69="","",ROUND(F69*2*'Multiplication factors'!$AG$8,2))</f>
        <v>20.97</v>
      </c>
      <c r="H69" s="8">
        <v>7.6300000000000007E-2</v>
      </c>
      <c r="I69" s="7">
        <f>IF(H69="","",ROUND(H69*2*'Multiplication factors'!$AK$8,2))</f>
        <v>2.52</v>
      </c>
    </row>
    <row r="70" spans="1:9" x14ac:dyDescent="0.35">
      <c r="A70" s="1">
        <v>68</v>
      </c>
      <c r="B70" s="8">
        <v>0.11360000000000001</v>
      </c>
      <c r="C70" s="7">
        <f>IF(B70="","",ROUND(B70*2*'Multiplication factors'!$Y$8,2))</f>
        <v>2.13</v>
      </c>
      <c r="D70" s="8">
        <v>6.93E-2</v>
      </c>
      <c r="E70" s="7">
        <f>IF(D70="","",ROUND(D70*2*'Multiplication factors'!$AC$8,2))</f>
        <v>5.03</v>
      </c>
      <c r="F70" s="8">
        <v>0.49859999999999999</v>
      </c>
      <c r="G70" s="7">
        <f>IF(F70="","",ROUND(F70*2*'Multiplication factors'!$AG$8,2))</f>
        <v>19.87</v>
      </c>
      <c r="H70" s="8">
        <v>9.5100000000000004E-2</v>
      </c>
      <c r="I70" s="7">
        <f>IF(H70="","",ROUND(H70*2*'Multiplication factors'!$AK$8,2))</f>
        <v>3.14</v>
      </c>
    </row>
    <row r="71" spans="1:9" x14ac:dyDescent="0.35">
      <c r="A71" s="1">
        <v>69</v>
      </c>
      <c r="B71" s="8">
        <v>8.1100000000000005E-2</v>
      </c>
      <c r="C71" s="7">
        <f>IF(B71="","",ROUND(B71*2*'Multiplication factors'!$Y$8,2))</f>
        <v>1.52</v>
      </c>
      <c r="D71" s="8">
        <v>8.1199999999999994E-2</v>
      </c>
      <c r="E71" s="7">
        <f>IF(D71="","",ROUND(D71*2*'Multiplication factors'!$AC$8,2))</f>
        <v>5.9</v>
      </c>
      <c r="F71" s="8">
        <v>0.5363</v>
      </c>
      <c r="G71" s="7">
        <f>IF(F71="","",ROUND(F71*2*'Multiplication factors'!$AG$8,2))</f>
        <v>21.37</v>
      </c>
      <c r="H71" s="8">
        <v>0.14399999999999999</v>
      </c>
      <c r="I71" s="7">
        <f>IF(H71="","",ROUND(H71*2*'Multiplication factors'!$AK$8,2))</f>
        <v>4.75</v>
      </c>
    </row>
    <row r="72" spans="1:9" x14ac:dyDescent="0.35">
      <c r="A72" s="1">
        <v>70</v>
      </c>
      <c r="B72" s="8">
        <v>9.3299999999999994E-2</v>
      </c>
      <c r="C72" s="7">
        <f>IF(B72="","",ROUND(B72*2*'Multiplication factors'!$Y$8,2))</f>
        <v>1.75</v>
      </c>
      <c r="D72" s="8">
        <v>8.7900000000000006E-2</v>
      </c>
      <c r="E72" s="7">
        <f>IF(D72="","",ROUND(D72*2*'Multiplication factors'!$AC$8,2))</f>
        <v>6.38</v>
      </c>
      <c r="F72" s="8">
        <v>0.55689999999999995</v>
      </c>
      <c r="G72" s="7">
        <f>IF(F72="","",ROUND(F72*2*'Multiplication factors'!$AG$8,2))</f>
        <v>22.19</v>
      </c>
      <c r="H72" s="8">
        <v>9.6799999999999997E-2</v>
      </c>
      <c r="I72" s="7">
        <f>IF(H72="","",ROUND(H72*2*'Multiplication factors'!$AK$8,2))</f>
        <v>3.19</v>
      </c>
    </row>
    <row r="73" spans="1:9" x14ac:dyDescent="0.35">
      <c r="A73" s="1">
        <v>71</v>
      </c>
      <c r="B73" s="8">
        <v>4.3900000000000002E-2</v>
      </c>
      <c r="C73" s="7">
        <f>IF(B73="","",ROUND(B73*2*'Multiplication factors'!$Y$8,2))</f>
        <v>0.82</v>
      </c>
      <c r="D73" s="8">
        <v>0.13919999999999999</v>
      </c>
      <c r="E73" s="7">
        <f>IF(D73="","",ROUND(D73*2*'Multiplication factors'!$AC$8,2))</f>
        <v>10.11</v>
      </c>
      <c r="F73" s="8">
        <v>0.5383</v>
      </c>
      <c r="G73" s="7">
        <f>IF(F73="","",ROUND(F73*2*'Multiplication factors'!$AG$8,2))</f>
        <v>21.45</v>
      </c>
      <c r="H73" s="8">
        <v>0.1152</v>
      </c>
      <c r="I73" s="7">
        <f>IF(H73="","",ROUND(H73*2*'Multiplication factors'!$AK$8,2))</f>
        <v>3.8</v>
      </c>
    </row>
    <row r="74" spans="1:9" x14ac:dyDescent="0.35">
      <c r="A74" s="1">
        <v>72</v>
      </c>
      <c r="B74" s="8">
        <v>8.9599999999999999E-2</v>
      </c>
      <c r="C74" s="7">
        <f>IF(B74="","",ROUND(B74*2*'Multiplication factors'!$Y$8,2))</f>
        <v>1.68</v>
      </c>
      <c r="D74" s="8">
        <v>7.9600000000000004E-2</v>
      </c>
      <c r="E74" s="7">
        <f>IF(D74="","",ROUND(D74*2*'Multiplication factors'!$AC$8,2))</f>
        <v>5.78</v>
      </c>
      <c r="F74" s="8">
        <v>0.49249999999999999</v>
      </c>
      <c r="G74" s="7">
        <f>IF(F74="","",ROUND(F74*2*'Multiplication factors'!$AG$8,2))</f>
        <v>19.63</v>
      </c>
      <c r="H74" s="8">
        <v>7.3999999999999996E-2</v>
      </c>
      <c r="I74" s="7">
        <f>IF(H74="","",ROUND(H74*2*'Multiplication factors'!$AK$8,2))</f>
        <v>2.44</v>
      </c>
    </row>
    <row r="75" spans="1:9" x14ac:dyDescent="0.35">
      <c r="A75" s="1">
        <v>73</v>
      </c>
      <c r="B75" s="8">
        <v>4.1599999999999998E-2</v>
      </c>
      <c r="C75" s="7">
        <f>IF(B75="","",ROUND(B75*2*'Multiplication factors'!$Y$8,2))</f>
        <v>0.78</v>
      </c>
      <c r="D75" s="8">
        <v>5.57E-2</v>
      </c>
      <c r="E75" s="7">
        <f>IF(D75="","",ROUND(D75*2*'Multiplication factors'!$AC$8,2))</f>
        <v>4.05</v>
      </c>
      <c r="F75" s="8">
        <v>0.32250000000000001</v>
      </c>
      <c r="G75" s="7">
        <f>IF(F75="","",ROUND(F75*2*'Multiplication factors'!$AG$8,2))</f>
        <v>12.85</v>
      </c>
      <c r="H75" s="8">
        <v>5.8400000000000001E-2</v>
      </c>
      <c r="I75" s="7">
        <f>IF(H75="","",ROUND(H75*2*'Multiplication factors'!$AK$8,2))</f>
        <v>1.93</v>
      </c>
    </row>
    <row r="76" spans="1:9" x14ac:dyDescent="0.35">
      <c r="A76" s="1">
        <v>74</v>
      </c>
      <c r="B76" s="8">
        <v>0.1169</v>
      </c>
      <c r="C76" s="7">
        <f>IF(B76="","",ROUND(B76*2*'Multiplication factors'!$Y$8,2))</f>
        <v>2.19</v>
      </c>
      <c r="D76" s="8">
        <v>9.6000000000000002E-2</v>
      </c>
      <c r="E76" s="7">
        <f>IF(D76="","",ROUND(D76*2*'Multiplication factors'!$AC$8,2))</f>
        <v>6.97</v>
      </c>
      <c r="F76" s="8">
        <v>0.53029999999999999</v>
      </c>
      <c r="G76" s="7">
        <f>IF(F76="","",ROUND(F76*2*'Multiplication factors'!$AG$8,2))</f>
        <v>21.13</v>
      </c>
      <c r="H76" s="8">
        <v>0.24640000000000001</v>
      </c>
      <c r="I76" s="7">
        <f>IF(H76="","",ROUND(H76*2*'Multiplication factors'!$AK$8,2))</f>
        <v>8.1300000000000008</v>
      </c>
    </row>
    <row r="77" spans="1:9" x14ac:dyDescent="0.35">
      <c r="A77" s="1">
        <v>75</v>
      </c>
      <c r="B77" s="8">
        <v>7.6700000000000004E-2</v>
      </c>
      <c r="C77" s="7">
        <f>IF(B77="","",ROUND(B77*2*'Multiplication factors'!$Y$8,2))</f>
        <v>1.44</v>
      </c>
      <c r="D77" s="8">
        <v>7.4399999999999994E-2</v>
      </c>
      <c r="E77" s="7">
        <f>IF(D77="","",ROUND(D77*2*'Multiplication factors'!$AC$8,2))</f>
        <v>5.4</v>
      </c>
      <c r="F77" s="8">
        <v>0.51160000000000005</v>
      </c>
      <c r="G77" s="7">
        <f>IF(F77="","",ROUND(F77*2*'Multiplication factors'!$AG$8,2))</f>
        <v>20.39</v>
      </c>
      <c r="H77" s="8">
        <v>7.8200000000000006E-2</v>
      </c>
      <c r="I77" s="7">
        <f>IF(H77="","",ROUND(H77*2*'Multiplication factors'!$AK$8,2))</f>
        <v>2.58</v>
      </c>
    </row>
    <row r="78" spans="1:9" x14ac:dyDescent="0.35">
      <c r="A78" s="1">
        <v>76</v>
      </c>
      <c r="B78" s="8">
        <v>6.3899999999999998E-2</v>
      </c>
      <c r="C78" s="7">
        <f>IF(B78="","",ROUND(B78*2*'Multiplication factors'!$Y$8,2))</f>
        <v>1.2</v>
      </c>
      <c r="D78" s="8">
        <v>9.4700000000000006E-2</v>
      </c>
      <c r="E78" s="7">
        <f>IF(D78="","",ROUND(D78*2*'Multiplication factors'!$AC$8,2))</f>
        <v>6.88</v>
      </c>
      <c r="F78" s="8">
        <v>0.4889</v>
      </c>
      <c r="G78" s="7">
        <f>IF(F78="","",ROUND(F78*2*'Multiplication factors'!$AG$8,2))</f>
        <v>19.48</v>
      </c>
      <c r="H78" s="8">
        <v>6.5100000000000005E-2</v>
      </c>
      <c r="I78" s="7">
        <f>IF(H78="","",ROUND(H78*2*'Multiplication factors'!$AK$8,2))</f>
        <v>2.15</v>
      </c>
    </row>
    <row r="79" spans="1:9" x14ac:dyDescent="0.35">
      <c r="A79" s="1">
        <v>77</v>
      </c>
      <c r="B79" s="8">
        <v>8.5000000000000006E-2</v>
      </c>
      <c r="C79" s="7">
        <f>IF(B79="","",ROUND(B79*2*'Multiplication factors'!$Y$8,2))</f>
        <v>1.59</v>
      </c>
      <c r="D79" s="8">
        <v>9.2899999999999996E-2</v>
      </c>
      <c r="E79" s="7">
        <f>IF(D79="","",ROUND(D79*2*'Multiplication factors'!$AC$8,2))</f>
        <v>6.75</v>
      </c>
      <c r="F79" s="8">
        <v>0.51239999999999997</v>
      </c>
      <c r="G79" s="7">
        <f>IF(F79="","",ROUND(F79*2*'Multiplication factors'!$AG$8,2))</f>
        <v>20.420000000000002</v>
      </c>
      <c r="H79" s="8">
        <v>7.9899999999999999E-2</v>
      </c>
      <c r="I79" s="7">
        <f>IF(H79="","",ROUND(H79*2*'Multiplication factors'!$AK$8,2))</f>
        <v>2.64</v>
      </c>
    </row>
    <row r="80" spans="1:9" x14ac:dyDescent="0.35">
      <c r="A80" s="1">
        <v>78</v>
      </c>
      <c r="B80" s="8">
        <v>6.7199999999999996E-2</v>
      </c>
      <c r="C80" s="7">
        <f>IF(B80="","",ROUND(B80*2*'Multiplication factors'!$Y$8,2))</f>
        <v>1.26</v>
      </c>
      <c r="D80" s="8">
        <v>6.8599999999999994E-2</v>
      </c>
      <c r="E80" s="7">
        <f>IF(D80="","",ROUND(D80*2*'Multiplication factors'!$AC$8,2))</f>
        <v>4.9800000000000004</v>
      </c>
      <c r="F80" s="8">
        <v>0.47889999999999999</v>
      </c>
      <c r="G80" s="7">
        <f>IF(F80="","",ROUND(F80*2*'Multiplication factors'!$AG$8,2))</f>
        <v>19.09</v>
      </c>
      <c r="H80" s="8">
        <v>7.9200000000000007E-2</v>
      </c>
      <c r="I80" s="7">
        <f>IF(H80="","",ROUND(H80*2*'Multiplication factors'!$AK$8,2))</f>
        <v>2.61</v>
      </c>
    </row>
    <row r="81" spans="1:9" x14ac:dyDescent="0.35">
      <c r="A81" s="1">
        <v>79</v>
      </c>
      <c r="B81" s="8">
        <v>7.6600000000000001E-2</v>
      </c>
      <c r="C81" s="7">
        <f>IF(B81="","",ROUND(B81*2*'Multiplication factors'!$Y$8,2))</f>
        <v>1.44</v>
      </c>
      <c r="D81" s="8">
        <v>6.9500000000000006E-2</v>
      </c>
      <c r="E81" s="7">
        <f>IF(D81="","",ROUND(D81*2*'Multiplication factors'!$AC$8,2))</f>
        <v>5.05</v>
      </c>
      <c r="F81" s="8">
        <v>0.47020000000000001</v>
      </c>
      <c r="G81" s="7">
        <f>IF(F81="","",ROUND(F81*2*'Multiplication factors'!$AG$8,2))</f>
        <v>18.739999999999998</v>
      </c>
      <c r="H81" s="8">
        <v>6.0999999999999999E-2</v>
      </c>
      <c r="I81" s="7">
        <f>IF(H81="","",ROUND(H81*2*'Multiplication factors'!$AK$8,2))</f>
        <v>2.0099999999999998</v>
      </c>
    </row>
    <row r="82" spans="1:9" x14ac:dyDescent="0.35">
      <c r="A82" s="1">
        <v>80</v>
      </c>
      <c r="B82" s="8">
        <v>8.3000000000000004E-2</v>
      </c>
      <c r="C82" s="7">
        <f>IF(B82="","",ROUND(B82*2*'Multiplication factors'!$Y$8,2))</f>
        <v>1.56</v>
      </c>
      <c r="D82" s="8">
        <v>7.0199999999999999E-2</v>
      </c>
      <c r="E82" s="7">
        <f>IF(D82="","",ROUND(D82*2*'Multiplication factors'!$AC$8,2))</f>
        <v>5.0999999999999996</v>
      </c>
      <c r="F82" s="8">
        <v>0.53029999999999999</v>
      </c>
      <c r="G82" s="7">
        <f>IF(F82="","",ROUND(F82*2*'Multiplication factors'!$AG$8,2))</f>
        <v>21.13</v>
      </c>
      <c r="H82" s="8">
        <v>0.11890000000000001</v>
      </c>
      <c r="I82" s="7">
        <f>IF(H82="","",ROUND(H82*2*'Multiplication factors'!$AK$8,2))</f>
        <v>3.92</v>
      </c>
    </row>
    <row r="83" spans="1:9" x14ac:dyDescent="0.35">
      <c r="A83" s="1">
        <v>81</v>
      </c>
      <c r="B83" s="8">
        <v>5.6000000000000001E-2</v>
      </c>
      <c r="C83" s="7">
        <f>IF(B83="","",ROUND(B83*2*'Multiplication factors'!$Y$8,2))</f>
        <v>1.05</v>
      </c>
      <c r="D83" s="8">
        <v>0.1186</v>
      </c>
      <c r="E83" s="7">
        <f>IF(D83="","",ROUND(D83*2*'Multiplication factors'!$AC$8,2))</f>
        <v>8.61</v>
      </c>
      <c r="F83" s="8">
        <v>0.54520000000000002</v>
      </c>
      <c r="G83" s="7">
        <f>IF(F83="","",ROUND(F83*2*'Multiplication factors'!$AG$8,2))</f>
        <v>21.73</v>
      </c>
      <c r="H83" s="8">
        <v>8.9599999999999999E-2</v>
      </c>
      <c r="I83" s="7">
        <f>IF(H83="","",ROUND(H83*2*'Multiplication factors'!$AK$8,2))</f>
        <v>2.96</v>
      </c>
    </row>
    <row r="84" spans="1:9" x14ac:dyDescent="0.35">
      <c r="A84" s="1">
        <v>82</v>
      </c>
      <c r="B84" s="8">
        <v>8.3699999999999997E-2</v>
      </c>
      <c r="C84" s="7">
        <f>IF(B84="","",ROUND(B84*2*'Multiplication factors'!$Y$8,2))</f>
        <v>1.57</v>
      </c>
      <c r="D84" s="8">
        <v>0.1153</v>
      </c>
      <c r="E84" s="7">
        <f>IF(D84="","",ROUND(D84*2*'Multiplication factors'!$AC$8,2))</f>
        <v>8.3800000000000008</v>
      </c>
      <c r="F84" s="8">
        <v>0.5978</v>
      </c>
      <c r="G84" s="7">
        <f>IF(F84="","",ROUND(F84*2*'Multiplication factors'!$AG$8,2))</f>
        <v>23.82</v>
      </c>
      <c r="H84" s="8">
        <v>8.8499999999999995E-2</v>
      </c>
      <c r="I84" s="7">
        <f>IF(H84="","",ROUND(H84*2*'Multiplication factors'!$AK$8,2))</f>
        <v>2.92</v>
      </c>
    </row>
    <row r="85" spans="1:9" x14ac:dyDescent="0.35">
      <c r="A85" s="1">
        <v>83</v>
      </c>
      <c r="B85" s="8">
        <v>7.2400000000000006E-2</v>
      </c>
      <c r="C85" s="7">
        <f>IF(B85="","",ROUND(B85*2*'Multiplication factors'!$Y$8,2))</f>
        <v>1.36</v>
      </c>
      <c r="D85" s="8">
        <v>6.6199999999999995E-2</v>
      </c>
      <c r="E85" s="7">
        <f>IF(D85="","",ROUND(D85*2*'Multiplication factors'!$AC$8,2))</f>
        <v>4.8099999999999996</v>
      </c>
      <c r="F85" s="8">
        <v>0.47849999999999998</v>
      </c>
      <c r="G85" s="7">
        <f>IF(F85="","",ROUND(F85*2*'Multiplication factors'!$AG$8,2))</f>
        <v>19.07</v>
      </c>
      <c r="H85" s="8">
        <v>6.4899999999999999E-2</v>
      </c>
      <c r="I85" s="7">
        <f>IF(H85="","",ROUND(H85*2*'Multiplication factors'!$AK$8,2))</f>
        <v>2.14</v>
      </c>
    </row>
    <row r="86" spans="1:9" x14ac:dyDescent="0.35">
      <c r="A86" s="1">
        <v>84</v>
      </c>
      <c r="B86" s="8">
        <v>6.4199999999999993E-2</v>
      </c>
      <c r="C86" s="7">
        <f>IF(B86="","",ROUND(B86*2*'Multiplication factors'!$Y$8,2))</f>
        <v>1.2</v>
      </c>
      <c r="D86" s="8">
        <v>9.0300000000000005E-2</v>
      </c>
      <c r="E86" s="7">
        <f>IF(D86="","",ROUND(D86*2*'Multiplication factors'!$AC$8,2))</f>
        <v>6.56</v>
      </c>
      <c r="F86" s="8">
        <v>0.51890000000000003</v>
      </c>
      <c r="G86" s="7">
        <f>IF(F86="","",ROUND(F86*2*'Multiplication factors'!$AG$8,2))</f>
        <v>20.68</v>
      </c>
      <c r="H86" s="8">
        <v>0.111</v>
      </c>
      <c r="I86" s="7">
        <f>IF(H86="","",ROUND(H86*2*'Multiplication factors'!$AK$8,2))</f>
        <v>3.66</v>
      </c>
    </row>
    <row r="87" spans="1:9" x14ac:dyDescent="0.35">
      <c r="A87" s="1">
        <v>85</v>
      </c>
      <c r="B87" s="8">
        <v>0.1103</v>
      </c>
      <c r="C87" s="7">
        <f>IF(B87="","",ROUND(B87*2*'Multiplication factors'!$Y$8,2))</f>
        <v>2.0699999999999998</v>
      </c>
      <c r="D87" s="8">
        <v>0.1234</v>
      </c>
      <c r="E87" s="7">
        <f>IF(D87="","",ROUND(D87*2*'Multiplication factors'!$AC$8,2))</f>
        <v>8.9600000000000009</v>
      </c>
      <c r="F87" s="8">
        <v>0.55079999999999996</v>
      </c>
      <c r="G87" s="7">
        <f>IF(F87="","",ROUND(F87*2*'Multiplication factors'!$AG$8,2))</f>
        <v>21.95</v>
      </c>
      <c r="H87" s="8">
        <v>0.15820000000000001</v>
      </c>
      <c r="I87" s="7">
        <f>IF(H87="","",ROUND(H87*2*'Multiplication factors'!$AK$8,2))</f>
        <v>5.22</v>
      </c>
    </row>
    <row r="88" spans="1:9" x14ac:dyDescent="0.35">
      <c r="A88" s="1">
        <v>86</v>
      </c>
      <c r="B88" s="8">
        <v>8.6300000000000002E-2</v>
      </c>
      <c r="C88" s="7">
        <f>IF(B88="","",ROUND(B88*2*'Multiplication factors'!$Y$8,2))</f>
        <v>1.62</v>
      </c>
      <c r="D88" s="8">
        <v>8.7400000000000005E-2</v>
      </c>
      <c r="E88" s="7">
        <f>IF(D88="","",ROUND(D88*2*'Multiplication factors'!$AC$8,2))</f>
        <v>6.35</v>
      </c>
      <c r="F88" s="8">
        <v>0.49359999999999998</v>
      </c>
      <c r="G88" s="7">
        <f>IF(F88="","",ROUND(F88*2*'Multiplication factors'!$AG$8,2))</f>
        <v>19.670000000000002</v>
      </c>
      <c r="H88" s="8">
        <v>8.6199999999999999E-2</v>
      </c>
      <c r="I88" s="7">
        <f>IF(H88="","",ROUND(H88*2*'Multiplication factors'!$AK$8,2))</f>
        <v>2.84</v>
      </c>
    </row>
    <row r="89" spans="1:9" x14ac:dyDescent="0.35">
      <c r="A89" s="1">
        <v>87</v>
      </c>
      <c r="B89" s="8">
        <v>7.9299999999999995E-2</v>
      </c>
      <c r="C89" s="7">
        <f>IF(B89="","",ROUND(B89*2*'Multiplication factors'!$Y$8,2))</f>
        <v>1.49</v>
      </c>
      <c r="D89" s="8">
        <v>0.1</v>
      </c>
      <c r="E89" s="7">
        <f>IF(D89="","",ROUND(D89*2*'Multiplication factors'!$AC$8,2))</f>
        <v>7.26</v>
      </c>
      <c r="F89" s="8">
        <v>0.32819999999999999</v>
      </c>
      <c r="G89" s="7">
        <f>IF(F89="","",ROUND(F89*2*'Multiplication factors'!$AG$8,2))</f>
        <v>13.08</v>
      </c>
      <c r="H89" s="8">
        <v>0.14199999999999999</v>
      </c>
      <c r="I89" s="7">
        <f>IF(H89="","",ROUND(H89*2*'Multiplication factors'!$AK$8,2))</f>
        <v>4.68</v>
      </c>
    </row>
    <row r="90" spans="1:9" x14ac:dyDescent="0.35">
      <c r="A90" s="1">
        <v>88</v>
      </c>
      <c r="B90" s="8">
        <v>7.0900000000000005E-2</v>
      </c>
      <c r="C90" s="7">
        <f>IF(B90="","",ROUND(B90*2*'Multiplication factors'!$Y$8,2))</f>
        <v>1.33</v>
      </c>
      <c r="D90" s="8">
        <v>9.9400000000000002E-2</v>
      </c>
      <c r="E90" s="7">
        <f>IF(D90="","",ROUND(D90*2*'Multiplication factors'!$AC$8,2))</f>
        <v>7.22</v>
      </c>
      <c r="F90" s="8">
        <v>0.33289999999999997</v>
      </c>
      <c r="G90" s="7">
        <f>IF(F90="","",ROUND(F90*2*'Multiplication factors'!$AG$8,2))</f>
        <v>13.27</v>
      </c>
      <c r="H90" s="8">
        <v>7.1400000000000005E-2</v>
      </c>
      <c r="I90" s="7">
        <f>IF(H90="","",ROUND(H90*2*'Multiplication factors'!$AK$8,2))</f>
        <v>2.36</v>
      </c>
    </row>
    <row r="91" spans="1:9" x14ac:dyDescent="0.35">
      <c r="A91" s="1">
        <v>89</v>
      </c>
      <c r="B91" s="8">
        <v>5.74E-2</v>
      </c>
      <c r="C91" s="7">
        <f>IF(B91="","",ROUND(B91*2*'Multiplication factors'!$Y$8,2))</f>
        <v>1.08</v>
      </c>
      <c r="D91" s="8">
        <v>0.1019</v>
      </c>
      <c r="E91" s="7">
        <f>IF(D91="","",ROUND(D91*2*'Multiplication factors'!$AC$8,2))</f>
        <v>7.4</v>
      </c>
      <c r="F91" s="8">
        <v>0.29749999999999999</v>
      </c>
      <c r="G91" s="7">
        <f>IF(F91="","",ROUND(F91*2*'Multiplication factors'!$AG$8,2))</f>
        <v>11.86</v>
      </c>
      <c r="H91" s="8">
        <v>6.6400000000000001E-2</v>
      </c>
      <c r="I91" s="7">
        <f>IF(H91="","",ROUND(H91*2*'Multiplication factors'!$AK$8,2))</f>
        <v>2.19</v>
      </c>
    </row>
    <row r="92" spans="1:9" x14ac:dyDescent="0.35">
      <c r="A92" s="1">
        <v>90</v>
      </c>
      <c r="B92" s="8">
        <v>6.3299999999999995E-2</v>
      </c>
      <c r="C92" s="7">
        <f>IF(B92="","",ROUND(B92*2*'Multiplication factors'!$Y$8,2))</f>
        <v>1.19</v>
      </c>
      <c r="D92" s="8">
        <v>9.3899999999999997E-2</v>
      </c>
      <c r="E92" s="7">
        <f>IF(D92="","",ROUND(D92*2*'Multiplication factors'!$AC$8,2))</f>
        <v>6.82</v>
      </c>
      <c r="F92" s="8">
        <v>0.30409999999999998</v>
      </c>
      <c r="G92" s="7">
        <f>IF(F92="","",ROUND(F92*2*'Multiplication factors'!$AG$8,2))</f>
        <v>12.12</v>
      </c>
      <c r="H92" s="8">
        <v>6.6199999999999995E-2</v>
      </c>
      <c r="I92" s="7">
        <f>IF(H92="","",ROUND(H92*2*'Multiplication factors'!$AK$8,2))</f>
        <v>2.1800000000000002</v>
      </c>
    </row>
    <row r="93" spans="1:9" x14ac:dyDescent="0.35">
      <c r="A93" s="1">
        <v>91</v>
      </c>
      <c r="B93" s="8">
        <v>0.1386</v>
      </c>
      <c r="C93" s="7">
        <f>IF(B93="","",ROUND(B93*2*'Multiplication factors'!$Y$8,2))</f>
        <v>2.6</v>
      </c>
      <c r="D93" s="8">
        <v>0.1888</v>
      </c>
      <c r="E93" s="7">
        <f>IF(D93="","",ROUND(D93*2*'Multiplication factors'!$AC$8,2))</f>
        <v>13.71</v>
      </c>
      <c r="F93" s="8">
        <v>0.70299999999999996</v>
      </c>
      <c r="G93" s="7">
        <f>IF(F93="","",ROUND(F93*2*'Multiplication factors'!$AG$8,2))</f>
        <v>28.02</v>
      </c>
      <c r="H93" s="8">
        <v>6.0400000000000002E-2</v>
      </c>
      <c r="I93" s="7">
        <f>IF(H93="","",ROUND(H93*2*'Multiplication factors'!$AK$8,2))</f>
        <v>1.99</v>
      </c>
    </row>
    <row r="94" spans="1:9" x14ac:dyDescent="0.35">
      <c r="A94" s="1">
        <v>92</v>
      </c>
      <c r="B94" s="8">
        <v>0.1827</v>
      </c>
      <c r="C94" s="7">
        <f>IF(B94="","",ROUND(B94*2*'Multiplication factors'!$Y$8,2))</f>
        <v>3.43</v>
      </c>
      <c r="D94" s="8">
        <v>0.1646</v>
      </c>
      <c r="E94" s="7">
        <f>IF(D94="","",ROUND(D94*2*'Multiplication factors'!$AC$8,2))</f>
        <v>11.96</v>
      </c>
      <c r="F94" s="8">
        <v>0.62619999999999998</v>
      </c>
      <c r="G94" s="7">
        <f>IF(F94="","",ROUND(F94*2*'Multiplication factors'!$AG$8,2))</f>
        <v>24.96</v>
      </c>
      <c r="H94" s="8">
        <v>5.45E-2</v>
      </c>
      <c r="I94" s="7">
        <f>IF(H94="","",ROUND(H94*2*'Multiplication factors'!$AK$8,2))</f>
        <v>1.8</v>
      </c>
    </row>
    <row r="95" spans="1:9" x14ac:dyDescent="0.35">
      <c r="A95" s="1">
        <v>93</v>
      </c>
      <c r="B95" s="8">
        <v>6.3100000000000003E-2</v>
      </c>
      <c r="C95" s="7">
        <f>IF(B95="","",ROUND(B95*2*'Multiplication factors'!$Y$8,2))</f>
        <v>1.18</v>
      </c>
      <c r="D95" s="8">
        <v>0.14180000000000001</v>
      </c>
      <c r="E95" s="7">
        <f>IF(D95="","",ROUND(D95*2*'Multiplication factors'!$AC$8,2))</f>
        <v>10.3</v>
      </c>
      <c r="F95" s="8">
        <v>0.56320000000000003</v>
      </c>
      <c r="G95" s="7">
        <f>IF(F95="","",ROUND(F95*2*'Multiplication factors'!$AG$8,2))</f>
        <v>22.44</v>
      </c>
      <c r="H95" s="8">
        <v>5.91E-2</v>
      </c>
      <c r="I95" s="7">
        <f>IF(H95="","",ROUND(H95*2*'Multiplication factors'!$AK$8,2))</f>
        <v>1.95</v>
      </c>
    </row>
    <row r="96" spans="1:9" x14ac:dyDescent="0.35">
      <c r="A96" s="1">
        <v>94</v>
      </c>
      <c r="B96" s="8">
        <v>6.7900000000000002E-2</v>
      </c>
      <c r="C96" s="7">
        <f>IF(B96="","",ROUND(B96*2*'Multiplication factors'!$Y$8,2))</f>
        <v>1.27</v>
      </c>
      <c r="D96" s="8">
        <v>0.15190000000000001</v>
      </c>
      <c r="E96" s="7">
        <f>IF(D96="","",ROUND(D96*2*'Multiplication factors'!$AC$8,2))</f>
        <v>11.03</v>
      </c>
      <c r="F96" s="8">
        <v>0.50919999999999999</v>
      </c>
      <c r="G96" s="7">
        <f>IF(F96="","",ROUND(F96*2*'Multiplication factors'!$AG$8,2))</f>
        <v>20.29</v>
      </c>
      <c r="H96" s="8">
        <v>6.2100000000000002E-2</v>
      </c>
      <c r="I96" s="7">
        <f>IF(H96="","",ROUND(H96*2*'Multiplication factors'!$AK$8,2))</f>
        <v>2.0499999999999998</v>
      </c>
    </row>
    <row r="97" spans="1:9" x14ac:dyDescent="0.35">
      <c r="A97" s="1">
        <v>95</v>
      </c>
      <c r="B97" s="8">
        <v>4.5400000000000003E-2</v>
      </c>
      <c r="C97" s="7">
        <f>IF(B97="","",ROUND(B97*2*'Multiplication factors'!$Y$8,2))</f>
        <v>0.85</v>
      </c>
      <c r="D97" s="8">
        <v>0.14299999999999999</v>
      </c>
      <c r="E97" s="7">
        <f>IF(D97="","",ROUND(D97*2*'Multiplication factors'!$AC$8,2))</f>
        <v>10.39</v>
      </c>
      <c r="F97" s="8">
        <v>0.44240000000000002</v>
      </c>
      <c r="G97" s="7">
        <f>IF(F97="","",ROUND(F97*2*'Multiplication factors'!$AG$8,2))</f>
        <v>17.63</v>
      </c>
      <c r="H97" s="8">
        <v>5.8599999999999999E-2</v>
      </c>
      <c r="I97" s="7">
        <f>IF(H97="","",ROUND(H97*2*'Multiplication factors'!$AK$8,2))</f>
        <v>1.93</v>
      </c>
    </row>
    <row r="98" spans="1:9" x14ac:dyDescent="0.35">
      <c r="A98" s="1">
        <v>96</v>
      </c>
      <c r="B98" s="8">
        <v>4.4699999999999997E-2</v>
      </c>
      <c r="C98" s="7">
        <f>IF(B98="","",ROUND(B98*2*'Multiplication factors'!$Y$8,2))</f>
        <v>0.84</v>
      </c>
      <c r="D98" s="8">
        <v>0.18440000000000001</v>
      </c>
      <c r="E98" s="7">
        <f>IF(D98="","",ROUND(D98*2*'Multiplication factors'!$AC$8,2))</f>
        <v>13.39</v>
      </c>
      <c r="F98" s="8">
        <v>0.46949999999999997</v>
      </c>
      <c r="G98" s="7">
        <f>IF(F98="","",ROUND(F98*2*'Multiplication factors'!$AG$8,2))</f>
        <v>18.71</v>
      </c>
      <c r="H98" s="8">
        <v>6.5000000000000002E-2</v>
      </c>
      <c r="I98" s="7">
        <f>IF(H98="","",ROUND(H98*2*'Multiplication factors'!$AK$8,2))</f>
        <v>2.14</v>
      </c>
    </row>
    <row r="99" spans="1:9" x14ac:dyDescent="0.35">
      <c r="A99" s="1">
        <v>97</v>
      </c>
      <c r="B99" s="8">
        <v>3.2300000000000002E-2</v>
      </c>
      <c r="C99" s="7">
        <f>IF(B99="","",ROUND(B99*2*'Multiplication factors'!$Y$8,2))</f>
        <v>0.61</v>
      </c>
      <c r="D99" s="8">
        <v>0.1651</v>
      </c>
      <c r="E99" s="7">
        <f>IF(D99="","",ROUND(D99*2*'Multiplication factors'!$AC$8,2))</f>
        <v>11.99</v>
      </c>
      <c r="F99" s="8">
        <v>0.44819999999999999</v>
      </c>
      <c r="G99" s="7">
        <f>IF(F99="","",ROUND(F99*2*'Multiplication factors'!$AG$8,2))</f>
        <v>17.86</v>
      </c>
      <c r="H99" s="8">
        <v>5.3499999999999999E-2</v>
      </c>
      <c r="I99" s="7">
        <f>IF(H99="","",ROUND(H99*2*'Multiplication factors'!$AK$8,2))</f>
        <v>1.76</v>
      </c>
    </row>
    <row r="100" spans="1:9" x14ac:dyDescent="0.35">
      <c r="A100" s="1">
        <v>98</v>
      </c>
      <c r="B100" s="8">
        <v>3.6600000000000001E-2</v>
      </c>
      <c r="C100" s="7">
        <f>IF(B100="","",ROUND(B100*2*'Multiplication factors'!$Y$8,2))</f>
        <v>0.69</v>
      </c>
      <c r="D100" s="8">
        <v>0.16389999999999999</v>
      </c>
      <c r="E100" s="7">
        <f>IF(D100="","",ROUND(D100*2*'Multiplication factors'!$AC$8,2))</f>
        <v>11.91</v>
      </c>
      <c r="F100" s="8">
        <v>0.80430000000000001</v>
      </c>
      <c r="G100" s="7">
        <f>IF(F100="","",ROUND(F100*2*'Multiplication factors'!$AG$8,2))</f>
        <v>32.049999999999997</v>
      </c>
      <c r="H100" s="8">
        <v>5.7599999999999998E-2</v>
      </c>
      <c r="I100" s="7">
        <f>IF(H100="","",ROUND(H100*2*'Multiplication factors'!$AK$8,2))</f>
        <v>1.9</v>
      </c>
    </row>
    <row r="101" spans="1:9" x14ac:dyDescent="0.35">
      <c r="A101" s="1">
        <v>99</v>
      </c>
      <c r="B101" s="8">
        <v>2.53E-2</v>
      </c>
      <c r="C101" s="7">
        <f>IF(B101="","",ROUND(B101*2*'Multiplication factors'!$Y$8,2))</f>
        <v>0.47</v>
      </c>
      <c r="D101" s="8">
        <v>0.17910000000000001</v>
      </c>
      <c r="E101" s="7">
        <f>IF(D101="","",ROUND(D101*2*'Multiplication factors'!$AC$8,2))</f>
        <v>13.01</v>
      </c>
      <c r="F101" s="8">
        <v>0.87360000000000004</v>
      </c>
      <c r="G101" s="7">
        <f>IF(F101="","",ROUND(F101*2*'Multiplication factors'!$AG$8,2))</f>
        <v>34.81</v>
      </c>
      <c r="H101" s="8">
        <v>5.7200000000000001E-2</v>
      </c>
      <c r="I101" s="7">
        <f>IF(H101="","",ROUND(H101*2*'Multiplication factors'!$AK$8,2))</f>
        <v>1.89</v>
      </c>
    </row>
    <row r="102" spans="1:9" x14ac:dyDescent="0.35">
      <c r="A102" s="1">
        <v>100</v>
      </c>
      <c r="B102" s="8">
        <v>6.3299999999999995E-2</v>
      </c>
      <c r="C102" s="7">
        <f>IF(B102="","",ROUND(B102*2*'Multiplication factors'!$Y$8,2))</f>
        <v>1.19</v>
      </c>
      <c r="D102" s="8">
        <v>0.1212</v>
      </c>
      <c r="E102" s="7">
        <f>IF(D102="","",ROUND(D102*2*'Multiplication factors'!$AC$8,2))</f>
        <v>8.8000000000000007</v>
      </c>
      <c r="F102" s="8">
        <v>0.6411</v>
      </c>
      <c r="G102" s="7">
        <f>IF(F102="","",ROUND(F102*2*'Multiplication factors'!$AG$8,2))</f>
        <v>25.55</v>
      </c>
      <c r="H102" s="8">
        <v>4.9599999999999998E-2</v>
      </c>
      <c r="I102" s="7">
        <f>IF(H102="","",ROUND(H102*2*'Multiplication factors'!$AK$8,2))</f>
        <v>1.64</v>
      </c>
    </row>
    <row r="103" spans="1:9" x14ac:dyDescent="0.35">
      <c r="A103" s="1">
        <v>101</v>
      </c>
      <c r="B103" s="8">
        <v>7.3899999999999993E-2</v>
      </c>
      <c r="C103" s="7">
        <f>IF(B103="","",ROUND(B103*2*'Multiplication factors'!$Y$8,2))</f>
        <v>1.39</v>
      </c>
      <c r="D103" s="8">
        <v>0.15279999999999999</v>
      </c>
      <c r="E103" s="7">
        <f>IF(D103="","",ROUND(D103*2*'Multiplication factors'!$AC$8,2))</f>
        <v>11.1</v>
      </c>
      <c r="F103" s="8">
        <v>0.81259999999999999</v>
      </c>
      <c r="G103" s="7">
        <f>IF(F103="","",ROUND(F103*2*'Multiplication factors'!$AG$8,2))</f>
        <v>32.380000000000003</v>
      </c>
      <c r="H103" s="8">
        <v>5.45E-2</v>
      </c>
      <c r="I103" s="7">
        <f>IF(H103="","",ROUND(H103*2*'Multiplication factors'!$AK$8,2))</f>
        <v>1.8</v>
      </c>
    </row>
    <row r="104" spans="1:9" x14ac:dyDescent="0.35">
      <c r="A104" s="1">
        <v>102</v>
      </c>
      <c r="B104" s="8">
        <v>6.25E-2</v>
      </c>
      <c r="C104" s="7">
        <f>IF(B104="","",ROUND(B104*2*'Multiplication factors'!$Y$8,2))</f>
        <v>1.17</v>
      </c>
      <c r="D104" s="8">
        <v>0.13150000000000001</v>
      </c>
      <c r="E104" s="7">
        <f>IF(D104="","",ROUND(D104*2*'Multiplication factors'!$AC$8,2))</f>
        <v>9.5500000000000007</v>
      </c>
      <c r="F104" s="8">
        <v>0.65959999999999996</v>
      </c>
      <c r="G104" s="7">
        <f>IF(F104="","",ROUND(F104*2*'Multiplication factors'!$AG$8,2))</f>
        <v>26.29</v>
      </c>
      <c r="H104" s="8">
        <v>4.3099999999999999E-2</v>
      </c>
      <c r="I104" s="7">
        <f>IF(H104="","",ROUND(H104*2*'Multiplication factors'!$AK$8,2))</f>
        <v>1.42</v>
      </c>
    </row>
    <row r="105" spans="1:9" x14ac:dyDescent="0.35">
      <c r="A105" s="1">
        <v>103</v>
      </c>
      <c r="B105" s="8">
        <v>5.1299999999999998E-2</v>
      </c>
      <c r="C105" s="7">
        <f>IF(B105="","",ROUND(B105*2*'Multiplication factors'!$Y$8,2))</f>
        <v>0.96</v>
      </c>
      <c r="D105" s="8">
        <v>0.1368</v>
      </c>
      <c r="E105" s="7">
        <f>IF(D105="","",ROUND(D105*2*'Multiplication factors'!$AC$8,2))</f>
        <v>9.94</v>
      </c>
      <c r="F105" s="8">
        <v>0.69199999999999995</v>
      </c>
      <c r="G105" s="7">
        <f>IF(F105="","",ROUND(F105*2*'Multiplication factors'!$AG$8,2))</f>
        <v>27.58</v>
      </c>
      <c r="H105" s="8">
        <v>4.7899999999999998E-2</v>
      </c>
      <c r="I105" s="7">
        <f>IF(H105="","",ROUND(H105*2*'Multiplication factors'!$AK$8,2))</f>
        <v>1.58</v>
      </c>
    </row>
    <row r="106" spans="1:9" x14ac:dyDescent="0.35">
      <c r="A106" s="1">
        <v>104</v>
      </c>
      <c r="B106" s="8">
        <v>6.5199999999999994E-2</v>
      </c>
      <c r="C106" s="7">
        <f>IF(B106="","",ROUND(B106*2*'Multiplication factors'!$Y$8,2))</f>
        <v>1.22</v>
      </c>
      <c r="D106" s="8">
        <v>0.1232</v>
      </c>
      <c r="E106" s="7">
        <f>IF(D106="","",ROUND(D106*2*'Multiplication factors'!$AC$8,2))</f>
        <v>8.9499999999999993</v>
      </c>
      <c r="F106" s="8">
        <v>0.67889999999999995</v>
      </c>
      <c r="G106" s="7">
        <f>IF(F106="","",ROUND(F106*2*'Multiplication factors'!$AG$8,2))</f>
        <v>27.06</v>
      </c>
      <c r="H106" s="8">
        <v>5.0999999999999997E-2</v>
      </c>
      <c r="I106" s="7">
        <f>IF(H106="","",ROUND(H106*2*'Multiplication factors'!$AK$8,2))</f>
        <v>1.68</v>
      </c>
    </row>
    <row r="107" spans="1:9" x14ac:dyDescent="0.35">
      <c r="A107" s="1">
        <v>105</v>
      </c>
      <c r="B107" s="8">
        <v>6.4799999999999996E-2</v>
      </c>
      <c r="C107" s="7">
        <f>IF(B107="","",ROUND(B107*2*'Multiplication factors'!$Y$8,2))</f>
        <v>1.22</v>
      </c>
      <c r="D107" s="8">
        <v>0.1341</v>
      </c>
      <c r="E107" s="7">
        <f>IF(D107="","",ROUND(D107*2*'Multiplication factors'!$AC$8,2))</f>
        <v>9.74</v>
      </c>
      <c r="F107" s="8">
        <v>0.68759999999999999</v>
      </c>
      <c r="G107" s="7">
        <f>IF(F107="","",ROUND(F107*2*'Multiplication factors'!$AG$8,2))</f>
        <v>27.4</v>
      </c>
      <c r="H107" s="8">
        <v>5.1299999999999998E-2</v>
      </c>
      <c r="I107" s="7">
        <f>IF(H107="","",ROUND(H107*2*'Multiplication factors'!$AK$8,2))</f>
        <v>1.69</v>
      </c>
    </row>
    <row r="108" spans="1:9" x14ac:dyDescent="0.35">
      <c r="A108" s="1">
        <v>106</v>
      </c>
      <c r="B108" s="8">
        <v>7.46E-2</v>
      </c>
      <c r="C108" s="7">
        <f>IF(B108="","",ROUND(B108*2*'Multiplication factors'!$Y$8,2))</f>
        <v>1.4</v>
      </c>
      <c r="D108" s="8">
        <v>0.13150000000000001</v>
      </c>
      <c r="E108" s="7">
        <f>IF(D108="","",ROUND(D108*2*'Multiplication factors'!$AC$8,2))</f>
        <v>9.5500000000000007</v>
      </c>
      <c r="F108" s="8">
        <v>0.76</v>
      </c>
      <c r="G108" s="7">
        <f>IF(F108="","",ROUND(F108*2*'Multiplication factors'!$AG$8,2))</f>
        <v>30.29</v>
      </c>
      <c r="H108" s="8">
        <v>5.6899999999999999E-2</v>
      </c>
      <c r="I108" s="7">
        <f>IF(H108="","",ROUND(H108*2*'Multiplication factors'!$AK$8,2))</f>
        <v>1.88</v>
      </c>
    </row>
    <row r="109" spans="1:9" x14ac:dyDescent="0.35">
      <c r="A109" s="1">
        <v>107</v>
      </c>
      <c r="B109" s="8">
        <v>4.7600000000000003E-2</v>
      </c>
      <c r="C109" s="7">
        <f>IF(B109="","",ROUND(B109*2*'Multiplication factors'!$Y$8,2))</f>
        <v>0.89</v>
      </c>
      <c r="D109" s="8">
        <v>0.1017</v>
      </c>
      <c r="E109" s="7">
        <f>IF(D109="","",ROUND(D109*2*'Multiplication factors'!$AC$8,2))</f>
        <v>7.39</v>
      </c>
      <c r="F109" s="8">
        <v>0.61529999999999996</v>
      </c>
      <c r="G109" s="7">
        <f>IF(F109="","",ROUND(F109*2*'Multiplication factors'!$AG$8,2))</f>
        <v>24.52</v>
      </c>
      <c r="H109" s="8">
        <v>3.8899999999999997E-2</v>
      </c>
      <c r="I109" s="7">
        <f>IF(H109="","",ROUND(H109*2*'Multiplication factors'!$AK$8,2))</f>
        <v>1.28</v>
      </c>
    </row>
    <row r="110" spans="1:9" x14ac:dyDescent="0.35">
      <c r="A110" s="1">
        <v>108</v>
      </c>
      <c r="B110" s="8">
        <v>5.8000000000000003E-2</v>
      </c>
      <c r="C110" s="7">
        <f>IF(B110="","",ROUND(B110*2*'Multiplication factors'!$Y$8,2))</f>
        <v>1.0900000000000001</v>
      </c>
      <c r="D110" s="8">
        <v>0.1115</v>
      </c>
      <c r="E110" s="7">
        <f>IF(D110="","",ROUND(D110*2*'Multiplication factors'!$AC$8,2))</f>
        <v>8.1</v>
      </c>
      <c r="F110" s="8">
        <v>0.65910000000000002</v>
      </c>
      <c r="G110" s="7">
        <f>IF(F110="","",ROUND(F110*2*'Multiplication factors'!$AG$8,2))</f>
        <v>26.27</v>
      </c>
      <c r="H110" s="8">
        <v>3.8199999999999998E-2</v>
      </c>
      <c r="I110" s="7">
        <f>IF(H110="","",ROUND(H110*2*'Multiplication factors'!$AK$8,2))</f>
        <v>1.26</v>
      </c>
    </row>
    <row r="111" spans="1:9" x14ac:dyDescent="0.35">
      <c r="A111" s="1">
        <v>109</v>
      </c>
      <c r="B111" s="8">
        <v>5.8999999999999997E-2</v>
      </c>
      <c r="C111" s="7">
        <f>IF(B111="","",ROUND(B111*2*'Multiplication factors'!$Y$8,2))</f>
        <v>1.1100000000000001</v>
      </c>
      <c r="D111" s="8">
        <v>0.1051</v>
      </c>
      <c r="E111" s="7">
        <f>IF(D111="","",ROUND(D111*2*'Multiplication factors'!$AC$8,2))</f>
        <v>7.63</v>
      </c>
      <c r="F111" s="8">
        <v>0.6391</v>
      </c>
      <c r="G111" s="7">
        <f>IF(F111="","",ROUND(F111*2*'Multiplication factors'!$AG$8,2))</f>
        <v>25.47</v>
      </c>
      <c r="H111" s="8">
        <v>4.2099999999999999E-2</v>
      </c>
      <c r="I111" s="7">
        <f>IF(H111="","",ROUND(H111*2*'Multiplication factors'!$AK$8,2))</f>
        <v>1.39</v>
      </c>
    </row>
    <row r="112" spans="1:9" x14ac:dyDescent="0.35">
      <c r="A112" s="1">
        <v>110</v>
      </c>
      <c r="B112" s="8">
        <v>6.8099999999999994E-2</v>
      </c>
      <c r="C112" s="7">
        <f>IF(B112="","",ROUND(B112*2*'Multiplication factors'!$Y$8,2))</f>
        <v>1.28</v>
      </c>
      <c r="D112" s="8">
        <v>0.14699999999999999</v>
      </c>
      <c r="E112" s="7">
        <f>IF(D112="","",ROUND(D112*2*'Multiplication factors'!$AC$8,2))</f>
        <v>10.68</v>
      </c>
      <c r="F112" s="8">
        <v>0.62819999999999998</v>
      </c>
      <c r="G112" s="7">
        <f>IF(F112="","",ROUND(F112*2*'Multiplication factors'!$AG$8,2))</f>
        <v>25.04</v>
      </c>
      <c r="H112" s="8">
        <v>4.19E-2</v>
      </c>
      <c r="I112" s="7">
        <f>IF(H112="","",ROUND(H112*2*'Multiplication factors'!$AK$8,2))</f>
        <v>1.38</v>
      </c>
    </row>
    <row r="113" spans="1:9" x14ac:dyDescent="0.35">
      <c r="A113" s="1">
        <v>111</v>
      </c>
      <c r="B113" s="8">
        <v>6.0299999999999999E-2</v>
      </c>
      <c r="C113" s="7">
        <f>IF(B113="","",ROUND(B113*2*'Multiplication factors'!$Y$8,2))</f>
        <v>1.1299999999999999</v>
      </c>
      <c r="D113" s="8">
        <v>8.5500000000000007E-2</v>
      </c>
      <c r="E113" s="7">
        <f>IF(D113="","",ROUND(D113*2*'Multiplication factors'!$AC$8,2))</f>
        <v>6.21</v>
      </c>
      <c r="F113" s="8">
        <v>0.64790000000000003</v>
      </c>
      <c r="G113" s="7">
        <f>IF(F113="","",ROUND(F113*2*'Multiplication factors'!$AG$8,2))</f>
        <v>25.82</v>
      </c>
      <c r="H113" s="8">
        <v>3.9699999999999999E-2</v>
      </c>
      <c r="I113" s="7">
        <f>IF(H113="","",ROUND(H113*2*'Multiplication factors'!$AK$8,2))</f>
        <v>1.31</v>
      </c>
    </row>
    <row r="114" spans="1:9" x14ac:dyDescent="0.35">
      <c r="A114" s="1">
        <v>112</v>
      </c>
      <c r="B114" s="8">
        <v>5.8200000000000002E-2</v>
      </c>
      <c r="C114" s="7">
        <f>IF(B114="","",ROUND(B114*2*'Multiplication factors'!$Y$8,2))</f>
        <v>1.0900000000000001</v>
      </c>
      <c r="D114" s="8">
        <v>0.1014</v>
      </c>
      <c r="E114" s="7">
        <f>IF(D114="","",ROUND(D114*2*'Multiplication factors'!$AC$8,2))</f>
        <v>7.37</v>
      </c>
      <c r="F114" s="8">
        <v>0.64790000000000003</v>
      </c>
      <c r="G114" s="7">
        <f>IF(F114="","",ROUND(F114*2*'Multiplication factors'!$AG$8,2))</f>
        <v>25.82</v>
      </c>
      <c r="H114" s="8">
        <v>3.6600000000000001E-2</v>
      </c>
      <c r="I114" s="7">
        <f>IF(H114="","",ROUND(H114*2*'Multiplication factors'!$AK$8,2))</f>
        <v>1.21</v>
      </c>
    </row>
    <row r="115" spans="1:9" x14ac:dyDescent="0.35">
      <c r="A115" s="1">
        <v>113</v>
      </c>
      <c r="B115" s="8">
        <v>3.5799999999999998E-2</v>
      </c>
      <c r="C115" s="7">
        <f>IF(B115="","",ROUND(B115*2*'Multiplication factors'!$Y$8,2))</f>
        <v>0.67</v>
      </c>
      <c r="D115" s="8">
        <v>7.6399999999999996E-2</v>
      </c>
      <c r="E115" s="7">
        <f>IF(D115="","",ROUND(D115*2*'Multiplication factors'!$AC$8,2))</f>
        <v>5.55</v>
      </c>
      <c r="F115" s="8">
        <v>0.55659999999999998</v>
      </c>
      <c r="G115" s="7">
        <f>IF(F115="","",ROUND(F115*2*'Multiplication factors'!$AG$8,2))</f>
        <v>22.18</v>
      </c>
      <c r="H115" s="8">
        <v>4.0399999999999998E-2</v>
      </c>
      <c r="I115" s="7">
        <f>IF(H115="","",ROUND(H115*2*'Multiplication factors'!$AK$8,2))</f>
        <v>1.33</v>
      </c>
    </row>
    <row r="116" spans="1:9" x14ac:dyDescent="0.35">
      <c r="A116" s="1">
        <v>114</v>
      </c>
      <c r="B116" s="8">
        <v>6.4500000000000002E-2</v>
      </c>
      <c r="C116" s="7">
        <f>IF(B116="","",ROUND(B116*2*'Multiplication factors'!$Y$8,2))</f>
        <v>1.21</v>
      </c>
      <c r="D116" s="8">
        <v>9.7500000000000003E-2</v>
      </c>
      <c r="E116" s="7">
        <f>IF(D116="","",ROUND(D116*2*'Multiplication factors'!$AC$8,2))</f>
        <v>7.08</v>
      </c>
      <c r="F116" s="8">
        <v>0.67349999999999999</v>
      </c>
      <c r="G116" s="7">
        <f>IF(F116="","",ROUND(F116*2*'Multiplication factors'!$AG$8,2))</f>
        <v>26.84</v>
      </c>
      <c r="H116" s="8">
        <v>2.8299999999999999E-2</v>
      </c>
      <c r="I116" s="7">
        <f>IF(H116="","",ROUND(H116*2*'Multiplication factors'!$AK$8,2))</f>
        <v>0.93</v>
      </c>
    </row>
    <row r="117" spans="1:9" x14ac:dyDescent="0.35">
      <c r="A117" s="1">
        <v>115</v>
      </c>
      <c r="B117" s="8">
        <v>8.1699999999999995E-2</v>
      </c>
      <c r="C117" s="7">
        <f>IF(B117="","",ROUND(B117*2*'Multiplication factors'!$Y$8,2))</f>
        <v>1.53</v>
      </c>
      <c r="D117" s="8">
        <v>0.1071</v>
      </c>
      <c r="E117" s="7">
        <f>IF(D117="","",ROUND(D117*2*'Multiplication factors'!$AC$8,2))</f>
        <v>7.78</v>
      </c>
      <c r="F117" s="8">
        <v>0.64329999999999998</v>
      </c>
      <c r="G117" s="7">
        <f>IF(F117="","",ROUND(F117*2*'Multiplication factors'!$AG$8,2))</f>
        <v>25.64</v>
      </c>
      <c r="H117" s="8">
        <v>2.76E-2</v>
      </c>
      <c r="I117" s="7">
        <f>IF(H117="","",ROUND(H117*2*'Multiplication factors'!$AK$8,2))</f>
        <v>0.91</v>
      </c>
    </row>
    <row r="118" spans="1:9" x14ac:dyDescent="0.35">
      <c r="A118" s="1">
        <v>116</v>
      </c>
      <c r="B118" s="8">
        <v>0.1971</v>
      </c>
      <c r="C118" s="7">
        <f>IF(B118="","",ROUND(B118*2*'Multiplication factors'!$Y$8,2))</f>
        <v>3.7</v>
      </c>
      <c r="D118" s="8">
        <v>0.1009</v>
      </c>
      <c r="E118" s="7">
        <f>IF(D118="","",ROUND(D118*2*'Multiplication factors'!$AC$8,2))</f>
        <v>7.33</v>
      </c>
      <c r="F118" s="8">
        <v>0.6109</v>
      </c>
      <c r="G118" s="7">
        <f>IF(F118="","",ROUND(F118*2*'Multiplication factors'!$AG$8,2))</f>
        <v>24.35</v>
      </c>
      <c r="H118" s="8">
        <v>9.5699999999999993E-2</v>
      </c>
      <c r="I118" s="7">
        <f>IF(H118="","",ROUND(H118*2*'Multiplication factors'!$AK$8,2))</f>
        <v>3.16</v>
      </c>
    </row>
    <row r="119" spans="1:9" x14ac:dyDescent="0.35">
      <c r="A119" s="1">
        <v>117</v>
      </c>
      <c r="B119" s="8">
        <v>7.1900000000000006E-2</v>
      </c>
      <c r="C119" s="7">
        <f>IF(B119="","",ROUND(B119*2*'Multiplication factors'!$Y$8,2))</f>
        <v>1.35</v>
      </c>
      <c r="D119" s="8">
        <v>0.10580000000000001</v>
      </c>
      <c r="E119" s="7">
        <f>IF(D119="","",ROUND(D119*2*'Multiplication factors'!$AC$8,2))</f>
        <v>7.69</v>
      </c>
      <c r="F119" s="8">
        <v>0.64059999999999995</v>
      </c>
      <c r="G119" s="7">
        <f>IF(F119="","",ROUND(F119*2*'Multiplication factors'!$AG$8,2))</f>
        <v>25.53</v>
      </c>
      <c r="H119" s="8">
        <v>8.5699999999999998E-2</v>
      </c>
      <c r="I119" s="7">
        <f>IF(H119="","",ROUND(H119*2*'Multiplication factors'!$AK$8,2))</f>
        <v>2.83</v>
      </c>
    </row>
    <row r="120" spans="1:9" x14ac:dyDescent="0.35">
      <c r="A120" s="1">
        <v>118</v>
      </c>
      <c r="B120" s="8">
        <v>8.4400000000000003E-2</v>
      </c>
      <c r="C120" s="7">
        <f>IF(B120="","",ROUND(B120*2*'Multiplication factors'!$Y$8,2))</f>
        <v>1.58</v>
      </c>
      <c r="D120" s="8">
        <v>9.3799999999999994E-2</v>
      </c>
      <c r="E120" s="7">
        <f>IF(D120="","",ROUND(D120*2*'Multiplication factors'!$AC$8,2))</f>
        <v>6.81</v>
      </c>
      <c r="F120" s="8">
        <v>0.58960000000000001</v>
      </c>
      <c r="G120" s="7">
        <f>IF(F120="","",ROUND(F120*2*'Multiplication factors'!$AG$8,2))</f>
        <v>23.5</v>
      </c>
      <c r="H120" s="8">
        <v>8.9099999999999999E-2</v>
      </c>
      <c r="I120" s="7">
        <f>IF(H120="","",ROUND(H120*2*'Multiplication factors'!$AK$8,2))</f>
        <v>2.94</v>
      </c>
    </row>
    <row r="121" spans="1:9" x14ac:dyDescent="0.35">
      <c r="A121" s="1">
        <v>119</v>
      </c>
      <c r="B121" s="8">
        <v>6.2600000000000003E-2</v>
      </c>
      <c r="C121" s="7">
        <f>IF(B121="","",ROUND(B121*2*'Multiplication factors'!$Y$8,2))</f>
        <v>1.17</v>
      </c>
      <c r="D121" s="8">
        <v>8.3299999999999999E-2</v>
      </c>
      <c r="E121" s="7">
        <f>IF(D121="","",ROUND(D121*2*'Multiplication factors'!$AC$8,2))</f>
        <v>6.05</v>
      </c>
      <c r="F121" s="8">
        <v>0.58440000000000003</v>
      </c>
      <c r="G121" s="7">
        <f>IF(F121="","",ROUND(F121*2*'Multiplication factors'!$AG$8,2))</f>
        <v>23.29</v>
      </c>
      <c r="H121" s="8">
        <v>9.4E-2</v>
      </c>
      <c r="I121" s="7">
        <f>IF(H121="","",ROUND(H121*2*'Multiplication factors'!$AK$8,2))</f>
        <v>3.1</v>
      </c>
    </row>
    <row r="122" spans="1:9" x14ac:dyDescent="0.35">
      <c r="A122" s="1">
        <v>120</v>
      </c>
      <c r="B122" s="8">
        <v>5.8099999999999999E-2</v>
      </c>
      <c r="C122" s="7">
        <f>IF(B122="","",ROUND(B122*2*'Multiplication factors'!$Y$8,2))</f>
        <v>1.0900000000000001</v>
      </c>
      <c r="D122" s="8">
        <v>8.9200000000000002E-2</v>
      </c>
      <c r="E122" s="7">
        <f>IF(D122="","",ROUND(D122*2*'Multiplication factors'!$AC$8,2))</f>
        <v>6.48</v>
      </c>
      <c r="F122" s="8">
        <v>0.54630000000000001</v>
      </c>
      <c r="G122" s="7">
        <f>IF(F122="","",ROUND(F122*2*'Multiplication factors'!$AG$8,2))</f>
        <v>21.77</v>
      </c>
      <c r="H122" s="8">
        <v>9.3100000000000002E-2</v>
      </c>
      <c r="I122" s="7">
        <f>IF(H122="","",ROUND(H122*2*'Multiplication factors'!$AK$8,2))</f>
        <v>3.07</v>
      </c>
    </row>
    <row r="123" spans="1:9" x14ac:dyDescent="0.35">
      <c r="A123" s="1">
        <v>121</v>
      </c>
      <c r="B123" s="8">
        <v>6.7000000000000004E-2</v>
      </c>
      <c r="C123" s="7">
        <f>IF(B123="","",ROUND(B123*2*'Multiplication factors'!$Y$8,2))</f>
        <v>1.26</v>
      </c>
      <c r="D123" s="8">
        <v>1.9300000000000001E-2</v>
      </c>
      <c r="E123" s="7">
        <f>IF(D123="","",ROUND(D123*2*'Multiplication factors'!$AC$8,2))</f>
        <v>1.4</v>
      </c>
      <c r="F123" s="8">
        <v>1.0177</v>
      </c>
      <c r="G123" s="7">
        <f>IF(F123="","",ROUND(F123*2*'Multiplication factors'!$AG$8,2))</f>
        <v>40.56</v>
      </c>
      <c r="H123" s="8">
        <v>3.5700000000000003E-2</v>
      </c>
      <c r="I123" s="7">
        <f>IF(H123="","",ROUND(H123*2*'Multiplication factors'!$AK$8,2))</f>
        <v>1.18</v>
      </c>
    </row>
    <row r="124" spans="1:9" x14ac:dyDescent="0.35">
      <c r="A124" s="1">
        <v>122</v>
      </c>
      <c r="B124" s="8">
        <v>7.1499999999999994E-2</v>
      </c>
      <c r="C124" s="7">
        <f>IF(B124="","",ROUND(B124*2*'Multiplication factors'!$Y$8,2))</f>
        <v>1.34</v>
      </c>
      <c r="D124" s="8">
        <v>7.1300000000000002E-2</v>
      </c>
      <c r="E124" s="7">
        <f>IF(D124="","",ROUND(D124*2*'Multiplication factors'!$AC$8,2))</f>
        <v>5.18</v>
      </c>
      <c r="F124" s="8">
        <v>1.0239</v>
      </c>
      <c r="G124" s="7">
        <f>IF(F124="","",ROUND(F124*2*'Multiplication factors'!$AG$8,2))</f>
        <v>40.799999999999997</v>
      </c>
      <c r="H124" s="8">
        <v>2.3199999999999998E-2</v>
      </c>
      <c r="I124" s="7">
        <f>IF(H124="","",ROUND(H124*2*'Multiplication factors'!$AK$8,2))</f>
        <v>0.77</v>
      </c>
    </row>
    <row r="125" spans="1:9" x14ac:dyDescent="0.35">
      <c r="A125" s="1">
        <v>123</v>
      </c>
      <c r="B125" s="8">
        <v>7.4399999999999994E-2</v>
      </c>
      <c r="C125" s="7">
        <f>IF(B125="","",ROUND(B125*2*'Multiplication factors'!$Y$8,2))</f>
        <v>1.4</v>
      </c>
      <c r="D125" s="8">
        <v>4.4400000000000002E-2</v>
      </c>
      <c r="E125" s="7">
        <f>IF(D125="","",ROUND(D125*2*'Multiplication factors'!$AC$8,2))</f>
        <v>3.23</v>
      </c>
      <c r="F125" s="8">
        <v>1.0503</v>
      </c>
      <c r="G125" s="7">
        <f>IF(F125="","",ROUND(F125*2*'Multiplication factors'!$AG$8,2))</f>
        <v>41.86</v>
      </c>
      <c r="H125" s="8">
        <v>1.38E-2</v>
      </c>
      <c r="I125" s="7">
        <f>IF(H125="","",ROUND(H125*2*'Multiplication factors'!$AK$8,2))</f>
        <v>0.46</v>
      </c>
    </row>
    <row r="126" spans="1:9" x14ac:dyDescent="0.35">
      <c r="A126" s="1">
        <v>124</v>
      </c>
      <c r="B126" s="8">
        <v>8.6599999999999996E-2</v>
      </c>
      <c r="C126" s="7">
        <f>IF(B126="","",ROUND(B126*2*'Multiplication factors'!$Y$8,2))</f>
        <v>1.62</v>
      </c>
      <c r="D126" s="8">
        <v>1.67E-2</v>
      </c>
      <c r="E126" s="7">
        <f>IF(D126="","",ROUND(D126*2*'Multiplication factors'!$AC$8,2))</f>
        <v>1.21</v>
      </c>
      <c r="F126" s="8">
        <v>1.0398000000000001</v>
      </c>
      <c r="G126" s="7">
        <f>IF(F126="","",ROUND(F126*2*'Multiplication factors'!$AG$8,2))</f>
        <v>41.44</v>
      </c>
      <c r="H126" s="8">
        <v>1.55E-2</v>
      </c>
      <c r="I126" s="7">
        <f>IF(H126="","",ROUND(H126*2*'Multiplication factors'!$AK$8,2))</f>
        <v>0.51</v>
      </c>
    </row>
    <row r="127" spans="1:9" x14ac:dyDescent="0.35">
      <c r="A127" s="1">
        <v>125</v>
      </c>
      <c r="B127" s="8">
        <v>7.7600000000000002E-2</v>
      </c>
      <c r="C127" s="7">
        <f>IF(B127="","",ROUND(B127*2*'Multiplication factors'!$Y$8,2))</f>
        <v>1.46</v>
      </c>
      <c r="D127" s="8">
        <v>0.32969999999999999</v>
      </c>
      <c r="E127" s="7">
        <f>IF(D127="","",ROUND(D127*2*'Multiplication factors'!$AC$8,2))</f>
        <v>23.95</v>
      </c>
      <c r="F127" s="8">
        <v>1.0006999999999999</v>
      </c>
      <c r="G127" s="7">
        <f>IF(F127="","",ROUND(F127*2*'Multiplication factors'!$AG$8,2))</f>
        <v>39.880000000000003</v>
      </c>
      <c r="H127" s="8">
        <v>8.1799999999999998E-2</v>
      </c>
      <c r="I127" s="7">
        <f>IF(H127="","",ROUND(H127*2*'Multiplication factors'!$AK$8,2))</f>
        <v>2.7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6"/>
  <sheetViews>
    <sheetView topLeftCell="A40" zoomScaleNormal="80" zoomScaleSheetLayoutView="100" workbookViewId="0">
      <selection activeCell="N53" sqref="N53"/>
    </sheetView>
  </sheetViews>
  <sheetFormatPr defaultRowHeight="14.5" x14ac:dyDescent="0.35"/>
  <cols>
    <col min="1" max="1" width="9.81640625" bestFit="1" customWidth="1"/>
  </cols>
  <sheetData>
    <row r="1" spans="1:13" x14ac:dyDescent="0.35">
      <c r="A1" s="1" t="s">
        <v>2</v>
      </c>
      <c r="B1" s="1" t="s">
        <v>3</v>
      </c>
      <c r="C1" s="1" t="s">
        <v>42</v>
      </c>
      <c r="D1" s="1" t="s">
        <v>18</v>
      </c>
      <c r="E1" s="1" t="s">
        <v>43</v>
      </c>
      <c r="F1" s="1" t="s">
        <v>44</v>
      </c>
      <c r="G1" s="1" t="s">
        <v>45</v>
      </c>
      <c r="H1" s="1" t="s">
        <v>21</v>
      </c>
      <c r="I1" s="1" t="s">
        <v>27</v>
      </c>
      <c r="J1" s="1" t="s">
        <v>19</v>
      </c>
      <c r="K1" s="1" t="s">
        <v>25</v>
      </c>
      <c r="L1" s="1" t="s">
        <v>26</v>
      </c>
      <c r="M1" s="1" t="s">
        <v>28</v>
      </c>
    </row>
    <row r="2" spans="1:13" x14ac:dyDescent="0.35">
      <c r="A2" s="1">
        <f>'pH &amp; EC'!A2</f>
        <v>1</v>
      </c>
      <c r="B2" s="1">
        <f>'pH &amp; EC'!B2</f>
        <v>6.78</v>
      </c>
      <c r="C2" s="1">
        <f>'pH &amp; EC'!F2</f>
        <v>0.14000000000000001</v>
      </c>
      <c r="D2" s="1">
        <f>'OC, B, S'!C3</f>
        <v>0.01</v>
      </c>
      <c r="E2" s="1">
        <f>NPK!D3</f>
        <v>250.88</v>
      </c>
      <c r="F2" s="1">
        <f>NPK!G3</f>
        <v>5.41</v>
      </c>
      <c r="G2" s="1">
        <f>NPK!J3</f>
        <v>26.88</v>
      </c>
      <c r="H2" s="1">
        <f>'OC, B, S'!J3</f>
        <v>9.75</v>
      </c>
      <c r="I2" s="1">
        <f>Microelements!C3</f>
        <v>1.27</v>
      </c>
      <c r="J2" s="1">
        <f>'OC, B, S'!G3</f>
        <v>2.5299999999999998</v>
      </c>
      <c r="K2" s="1">
        <f>Microelements!E3</f>
        <v>11.37</v>
      </c>
      <c r="L2" s="1">
        <f>Microelements!G3</f>
        <v>18.010000000000002</v>
      </c>
      <c r="M2" s="1">
        <f>Microelements!I3</f>
        <v>7.67</v>
      </c>
    </row>
    <row r="3" spans="1:13" x14ac:dyDescent="0.35">
      <c r="A3" s="1">
        <f>'pH &amp; EC'!A3</f>
        <v>2</v>
      </c>
      <c r="B3" s="1">
        <f>'pH &amp; EC'!B3</f>
        <v>6.85</v>
      </c>
      <c r="C3" s="1">
        <f>'pH &amp; EC'!F3</f>
        <v>0.18</v>
      </c>
      <c r="D3" s="1">
        <f>'OC, B, S'!C4</f>
        <v>0.01</v>
      </c>
      <c r="E3" s="1">
        <f>NPK!D4</f>
        <v>229.97</v>
      </c>
      <c r="F3" s="1">
        <f>NPK!G4</f>
        <v>6.58</v>
      </c>
      <c r="G3" s="1">
        <f>NPK!J4</f>
        <v>49.28</v>
      </c>
      <c r="H3" s="1">
        <f>'OC, B, S'!J4</f>
        <v>15.63</v>
      </c>
      <c r="I3" s="1">
        <f>Microelements!C4</f>
        <v>0.97</v>
      </c>
      <c r="J3" s="1">
        <f>'OC, B, S'!G4</f>
        <v>0.9</v>
      </c>
      <c r="K3" s="1">
        <f>Microelements!E4</f>
        <v>11.08</v>
      </c>
      <c r="L3" s="1">
        <f>Microelements!G4</f>
        <v>15.34</v>
      </c>
      <c r="M3" s="1">
        <f>Microelements!I4</f>
        <v>5.0999999999999996</v>
      </c>
    </row>
    <row r="4" spans="1:13" x14ac:dyDescent="0.35">
      <c r="A4" s="1">
        <f>'pH &amp; EC'!A4</f>
        <v>3</v>
      </c>
      <c r="B4" s="1">
        <f>'pH &amp; EC'!B4</f>
        <v>6.71</v>
      </c>
      <c r="C4" s="1">
        <f>'pH &amp; EC'!F4</f>
        <v>0.36</v>
      </c>
      <c r="D4" s="1">
        <f>'OC, B, S'!C5</f>
        <v>0.01</v>
      </c>
      <c r="E4" s="1">
        <f>NPK!D5</f>
        <v>209.07</v>
      </c>
      <c r="F4" s="1">
        <f>NPK!G5</f>
        <v>5.29</v>
      </c>
      <c r="G4" s="1">
        <f>NPK!J5</f>
        <v>50.4</v>
      </c>
      <c r="H4" s="1">
        <f>'OC, B, S'!J5</f>
        <v>13</v>
      </c>
      <c r="I4" s="1">
        <f>Microelements!C5</f>
        <v>0.39</v>
      </c>
      <c r="J4" s="1">
        <f>'OC, B, S'!G5</f>
        <v>3.6</v>
      </c>
      <c r="K4" s="1">
        <f>Microelements!E5</f>
        <v>10.64</v>
      </c>
      <c r="L4" s="1">
        <f>Microelements!G5</f>
        <v>7.63</v>
      </c>
      <c r="M4" s="1">
        <f>Microelements!I5</f>
        <v>3.88</v>
      </c>
    </row>
    <row r="5" spans="1:13" x14ac:dyDescent="0.35">
      <c r="A5" s="1">
        <f>'pH &amp; EC'!A5</f>
        <v>4</v>
      </c>
      <c r="B5" s="1">
        <f>'pH &amp; EC'!B5</f>
        <v>6.66</v>
      </c>
      <c r="C5" s="1">
        <f>'pH &amp; EC'!F5</f>
        <v>0.22</v>
      </c>
      <c r="D5" s="1">
        <f>'OC, B, S'!C6</f>
        <v>0.01</v>
      </c>
      <c r="E5" s="1">
        <f>NPK!D6</f>
        <v>292.69</v>
      </c>
      <c r="F5" s="1">
        <f>NPK!G6</f>
        <v>6.25</v>
      </c>
      <c r="G5" s="1">
        <f>NPK!J6</f>
        <v>67.2</v>
      </c>
      <c r="H5" s="1">
        <f>'OC, B, S'!J6</f>
        <v>7.63</v>
      </c>
      <c r="I5" s="1">
        <f>Microelements!C6</f>
        <v>0.19</v>
      </c>
      <c r="J5" s="1">
        <f>'OC, B, S'!G6</f>
        <v>1.3</v>
      </c>
      <c r="K5" s="1">
        <f>Microelements!E6</f>
        <v>5.96</v>
      </c>
      <c r="L5" s="1">
        <f>Microelements!G6</f>
        <v>34.979999999999997</v>
      </c>
      <c r="M5" s="1">
        <f>Microelements!I6</f>
        <v>4.67</v>
      </c>
    </row>
    <row r="6" spans="1:13" x14ac:dyDescent="0.35">
      <c r="A6" s="1">
        <f>'pH &amp; EC'!A6</f>
        <v>5</v>
      </c>
      <c r="B6" s="1">
        <f>'pH &amp; EC'!B6</f>
        <v>6.99</v>
      </c>
      <c r="C6" s="1">
        <f>'pH &amp; EC'!F6</f>
        <v>0.28000000000000003</v>
      </c>
      <c r="D6" s="1">
        <f>'OC, B, S'!C7</f>
        <v>0.01</v>
      </c>
      <c r="E6" s="1">
        <f>NPK!D7</f>
        <v>209.07</v>
      </c>
      <c r="F6" s="1">
        <f>NPK!G7</f>
        <v>5.62</v>
      </c>
      <c r="G6" s="1">
        <f>NPK!J7</f>
        <v>69.44</v>
      </c>
      <c r="H6" s="1">
        <f>'OC, B, S'!J7</f>
        <v>9.75</v>
      </c>
      <c r="I6" s="1">
        <f>Microelements!C7</f>
        <v>0.23</v>
      </c>
      <c r="J6" s="1">
        <f>'OC, B, S'!G7</f>
        <v>0.35</v>
      </c>
      <c r="K6" s="1">
        <f>Microelements!E7</f>
        <v>9.07</v>
      </c>
      <c r="L6" s="1">
        <f>Microelements!G7</f>
        <v>32.96</v>
      </c>
      <c r="M6" s="1">
        <f>Microelements!I7</f>
        <v>4.49</v>
      </c>
    </row>
    <row r="7" spans="1:13" x14ac:dyDescent="0.35">
      <c r="A7" s="1">
        <f>'pH &amp; EC'!A7</f>
        <v>6</v>
      </c>
      <c r="B7" s="1">
        <f>'pH &amp; EC'!B7</f>
        <v>6.71</v>
      </c>
      <c r="C7" s="1">
        <f>'pH &amp; EC'!F7</f>
        <v>0.22</v>
      </c>
      <c r="D7" s="1">
        <f>'OC, B, S'!C8</f>
        <v>0.01</v>
      </c>
      <c r="E7" s="1">
        <f>NPK!D8</f>
        <v>188.16</v>
      </c>
      <c r="F7" s="1">
        <f>NPK!G8</f>
        <v>5.83</v>
      </c>
      <c r="G7" s="1">
        <f>NPK!J8</f>
        <v>61.6</v>
      </c>
      <c r="H7" s="1">
        <f>'OC, B, S'!J8</f>
        <v>8.1300000000000008</v>
      </c>
      <c r="I7" s="1">
        <f>Microelements!C8</f>
        <v>1.77</v>
      </c>
      <c r="J7" s="1">
        <f>'OC, B, S'!G8</f>
        <v>1.48</v>
      </c>
      <c r="K7" s="1">
        <f>Microelements!E8</f>
        <v>8.19</v>
      </c>
      <c r="L7" s="1">
        <f>Microelements!G8</f>
        <v>33.119999999999997</v>
      </c>
      <c r="M7" s="1">
        <f>Microelements!I8</f>
        <v>3.99</v>
      </c>
    </row>
    <row r="8" spans="1:13" x14ac:dyDescent="0.35">
      <c r="A8" s="1">
        <f>'pH &amp; EC'!A8</f>
        <v>7</v>
      </c>
      <c r="B8" s="1">
        <f>'pH &amp; EC'!B8</f>
        <v>6.92</v>
      </c>
      <c r="C8" s="1">
        <f>'pH &amp; EC'!F8</f>
        <v>0.39</v>
      </c>
      <c r="D8" s="1">
        <f>'OC, B, S'!C9</f>
        <v>0.01</v>
      </c>
      <c r="E8" s="1">
        <f>NPK!D9</f>
        <v>209.07</v>
      </c>
      <c r="F8" s="1">
        <f>NPK!G9</f>
        <v>4.41</v>
      </c>
      <c r="G8" s="1">
        <f>NPK!J9</f>
        <v>47.04</v>
      </c>
      <c r="H8" s="1">
        <f>'OC, B, S'!J9</f>
        <v>4.38</v>
      </c>
      <c r="I8" s="1">
        <f>Microelements!C9</f>
        <v>1.45</v>
      </c>
      <c r="J8" s="1">
        <f>'OC, B, S'!G9</f>
        <v>1.5</v>
      </c>
      <c r="K8" s="1">
        <f>Microelements!E9</f>
        <v>8.4600000000000009</v>
      </c>
      <c r="L8" s="1">
        <f>Microelements!G9</f>
        <v>30.85</v>
      </c>
      <c r="M8" s="1">
        <f>Microelements!I9</f>
        <v>3.94</v>
      </c>
    </row>
    <row r="9" spans="1:13" x14ac:dyDescent="0.35">
      <c r="A9" s="1">
        <f>'pH &amp; EC'!A9</f>
        <v>8</v>
      </c>
      <c r="B9" s="1">
        <f>'pH &amp; EC'!B9</f>
        <v>6.66</v>
      </c>
      <c r="C9" s="1">
        <f>'pH &amp; EC'!F9</f>
        <v>0.35</v>
      </c>
      <c r="D9" s="1">
        <f>'OC, B, S'!C10</f>
        <v>0.01</v>
      </c>
      <c r="E9" s="1">
        <f>NPK!D10</f>
        <v>167.25</v>
      </c>
      <c r="F9" s="1">
        <f>NPK!G10</f>
        <v>7.29</v>
      </c>
      <c r="G9" s="1">
        <f>NPK!J10</f>
        <v>48.16</v>
      </c>
      <c r="H9" s="1">
        <f>'OC, B, S'!J10</f>
        <v>7.63</v>
      </c>
      <c r="I9" s="1">
        <f>Microelements!C10</f>
        <v>1.38</v>
      </c>
      <c r="J9" s="1">
        <f>'OC, B, S'!G10</f>
        <v>1.53</v>
      </c>
      <c r="K9" s="1">
        <f>Microelements!E10</f>
        <v>4.54</v>
      </c>
      <c r="L9" s="1">
        <f>Microelements!G10</f>
        <v>22.09</v>
      </c>
      <c r="M9" s="1">
        <f>Microelements!I10</f>
        <v>4.0999999999999996</v>
      </c>
    </row>
    <row r="10" spans="1:13" x14ac:dyDescent="0.35">
      <c r="A10" s="1">
        <f>'pH &amp; EC'!A10</f>
        <v>9</v>
      </c>
      <c r="B10" s="1">
        <f>'pH &amp; EC'!B10</f>
        <v>6.91</v>
      </c>
      <c r="C10" s="1">
        <f>'pH &amp; EC'!F10</f>
        <v>0.21</v>
      </c>
      <c r="D10" s="1">
        <f>'OC, B, S'!C11</f>
        <v>0.01</v>
      </c>
      <c r="E10" s="1">
        <f>NPK!D11</f>
        <v>209.07</v>
      </c>
      <c r="F10" s="1">
        <f>NPK!G11</f>
        <v>4.58</v>
      </c>
      <c r="G10" s="1">
        <f>NPK!J11</f>
        <v>13.44</v>
      </c>
      <c r="H10" s="1">
        <f>'OC, B, S'!J11</f>
        <v>4.88</v>
      </c>
      <c r="I10" s="1">
        <f>Microelements!C11</f>
        <v>1.5</v>
      </c>
      <c r="J10" s="1">
        <f>'OC, B, S'!G11</f>
        <v>1.4</v>
      </c>
      <c r="K10" s="1">
        <f>Microelements!E11</f>
        <v>3.52</v>
      </c>
      <c r="L10" s="1">
        <f>Microelements!G11</f>
        <v>21.94</v>
      </c>
      <c r="M10" s="1">
        <f>Microelements!I11</f>
        <v>7.25</v>
      </c>
    </row>
    <row r="11" spans="1:13" x14ac:dyDescent="0.35">
      <c r="A11" s="1">
        <f>'pH &amp; EC'!A11</f>
        <v>10</v>
      </c>
      <c r="B11" s="1">
        <f>'pH &amp; EC'!B11</f>
        <v>7.05</v>
      </c>
      <c r="C11" s="1">
        <f>'pH &amp; EC'!F11</f>
        <v>0.43</v>
      </c>
      <c r="D11" s="1">
        <f>'OC, B, S'!C12</f>
        <v>0.01</v>
      </c>
      <c r="E11" s="1">
        <f>NPK!D12</f>
        <v>209.07</v>
      </c>
      <c r="F11" s="1">
        <f>NPK!G12</f>
        <v>5.75</v>
      </c>
      <c r="G11" s="1">
        <f>NPK!J12</f>
        <v>21.28</v>
      </c>
      <c r="H11" s="1">
        <f>'OC, B, S'!J12</f>
        <v>6.5</v>
      </c>
      <c r="I11" s="1">
        <f>Microelements!C12</f>
        <v>2.2000000000000002</v>
      </c>
      <c r="J11" s="1">
        <f>'OC, B, S'!G12</f>
        <v>3.7</v>
      </c>
      <c r="K11" s="1">
        <f>Microelements!E12</f>
        <v>4.1500000000000004</v>
      </c>
      <c r="L11" s="1">
        <f>Microelements!G12</f>
        <v>30.71</v>
      </c>
      <c r="M11" s="1">
        <f>Microelements!I12</f>
        <v>4.4000000000000004</v>
      </c>
    </row>
    <row r="12" spans="1:13" x14ac:dyDescent="0.35">
      <c r="A12" s="1">
        <f>'pH &amp; EC'!A12</f>
        <v>11</v>
      </c>
      <c r="B12" s="1">
        <f>'pH &amp; EC'!B12</f>
        <v>7.02</v>
      </c>
      <c r="C12" s="1">
        <f>'pH &amp; EC'!F12</f>
        <v>0.24</v>
      </c>
      <c r="D12" s="1">
        <f>'OC, B, S'!C13</f>
        <v>0.01</v>
      </c>
      <c r="E12" s="1">
        <f>NPK!D13</f>
        <v>209.07</v>
      </c>
      <c r="F12" s="1">
        <f>NPK!G13</f>
        <v>5.37</v>
      </c>
      <c r="G12" s="1">
        <f>NPK!J13</f>
        <v>24.64</v>
      </c>
      <c r="H12" s="1">
        <f>'OC, B, S'!J13</f>
        <v>12.38</v>
      </c>
      <c r="I12" s="1">
        <f>Microelements!C13</f>
        <v>1.27</v>
      </c>
      <c r="J12" s="1">
        <f>'OC, B, S'!G13</f>
        <v>0.25</v>
      </c>
      <c r="K12" s="1">
        <f>Microelements!E13</f>
        <v>2.14</v>
      </c>
      <c r="L12" s="1">
        <f>Microelements!G13</f>
        <v>13.83</v>
      </c>
      <c r="M12" s="1">
        <f>Microelements!I13</f>
        <v>3.67</v>
      </c>
    </row>
    <row r="13" spans="1:13" x14ac:dyDescent="0.35">
      <c r="A13" s="1">
        <f>'pH &amp; EC'!A13</f>
        <v>12</v>
      </c>
      <c r="B13" s="1">
        <f>'pH &amp; EC'!B13</f>
        <v>6.89</v>
      </c>
      <c r="C13" s="1">
        <f>'pH &amp; EC'!F13</f>
        <v>0.17</v>
      </c>
      <c r="D13" s="1">
        <f>'OC, B, S'!C14</f>
        <v>0.01</v>
      </c>
      <c r="E13" s="1">
        <f>NPK!D14</f>
        <v>229.97</v>
      </c>
      <c r="F13" s="1">
        <f>NPK!G14</f>
        <v>5.71</v>
      </c>
      <c r="G13" s="1">
        <f>NPK!J14</f>
        <v>29.12</v>
      </c>
      <c r="H13" s="1">
        <f>'OC, B, S'!J14</f>
        <v>8.1300000000000008</v>
      </c>
      <c r="I13" s="1">
        <f>Microelements!C14</f>
        <v>1.1499999999999999</v>
      </c>
      <c r="J13" s="1">
        <f>'OC, B, S'!G14</f>
        <v>1.4</v>
      </c>
      <c r="K13" s="1">
        <f>Microelements!E14</f>
        <v>9.57</v>
      </c>
      <c r="L13" s="1">
        <f>Microelements!G14</f>
        <v>11.9</v>
      </c>
      <c r="M13" s="1">
        <f>Microelements!I14</f>
        <v>4.13</v>
      </c>
    </row>
    <row r="14" spans="1:13" x14ac:dyDescent="0.35">
      <c r="A14" s="1">
        <f>'pH &amp; EC'!A14</f>
        <v>13</v>
      </c>
      <c r="B14" s="1">
        <f>'pH &amp; EC'!B14</f>
        <v>6.77</v>
      </c>
      <c r="C14" s="1">
        <f>'pH &amp; EC'!F14</f>
        <v>0.14000000000000001</v>
      </c>
      <c r="D14" s="1">
        <f>'OC, B, S'!C15</f>
        <v>0.01</v>
      </c>
      <c r="E14" s="1">
        <f>NPK!D15</f>
        <v>229.97</v>
      </c>
      <c r="F14" s="1">
        <f>NPK!G15</f>
        <v>6.21</v>
      </c>
      <c r="G14" s="1">
        <f>NPK!J15</f>
        <v>43.68</v>
      </c>
      <c r="H14" s="1">
        <f>'OC, B, S'!J15</f>
        <v>14</v>
      </c>
      <c r="I14" s="1">
        <f>Microelements!C15</f>
        <v>1.43</v>
      </c>
      <c r="J14" s="1">
        <f>'OC, B, S'!G15</f>
        <v>1.53</v>
      </c>
      <c r="K14" s="1">
        <f>Microelements!E15</f>
        <v>9.6999999999999993</v>
      </c>
      <c r="L14" s="1">
        <f>Microelements!G15</f>
        <v>10.87</v>
      </c>
      <c r="M14" s="1">
        <f>Microelements!I15</f>
        <v>3.95</v>
      </c>
    </row>
    <row r="15" spans="1:13" x14ac:dyDescent="0.35">
      <c r="A15" s="1">
        <f>'pH &amp; EC'!A15</f>
        <v>14</v>
      </c>
      <c r="B15" s="1">
        <f>'pH &amp; EC'!B15</f>
        <v>6.64</v>
      </c>
      <c r="C15" s="1">
        <f>'pH &amp; EC'!F15</f>
        <v>0.21</v>
      </c>
      <c r="D15" s="1">
        <f>'OC, B, S'!C16</f>
        <v>0.01</v>
      </c>
      <c r="E15" s="1">
        <f>NPK!D16</f>
        <v>209.07</v>
      </c>
      <c r="F15" s="1">
        <f>NPK!G16</f>
        <v>6.62</v>
      </c>
      <c r="G15" s="1">
        <f>NPK!J16</f>
        <v>40.32</v>
      </c>
      <c r="H15" s="1">
        <f>'OC, B, S'!J16</f>
        <v>11.38</v>
      </c>
      <c r="I15" s="1">
        <f>Microelements!C16</f>
        <v>1.57</v>
      </c>
      <c r="J15" s="1">
        <f>'OC, B, S'!G16</f>
        <v>1.1499999999999999</v>
      </c>
      <c r="K15" s="1">
        <f>Microelements!E16</f>
        <v>9.11</v>
      </c>
      <c r="L15" s="1">
        <f>Microelements!G16</f>
        <v>5.38</v>
      </c>
      <c r="M15" s="1">
        <f>Microelements!I16</f>
        <v>3.18</v>
      </c>
    </row>
    <row r="16" spans="1:13" x14ac:dyDescent="0.35">
      <c r="A16" s="1">
        <f>'pH &amp; EC'!A16</f>
        <v>15</v>
      </c>
      <c r="B16" s="1">
        <f>'pH &amp; EC'!B16</f>
        <v>6.7</v>
      </c>
      <c r="C16" s="1">
        <f>'pH &amp; EC'!F16</f>
        <v>0.3</v>
      </c>
      <c r="D16" s="1">
        <f>'OC, B, S'!C17</f>
        <v>0.01</v>
      </c>
      <c r="E16" s="1">
        <f>NPK!D17</f>
        <v>188.16</v>
      </c>
      <c r="F16" s="1">
        <f>NPK!G17</f>
        <v>6.12</v>
      </c>
      <c r="G16" s="1">
        <f>NPK!J17</f>
        <v>36.96</v>
      </c>
      <c r="H16" s="1">
        <f>'OC, B, S'!J17</f>
        <v>10.25</v>
      </c>
      <c r="I16" s="1">
        <f>Microelements!C17</f>
        <v>2.23</v>
      </c>
      <c r="J16" s="1">
        <f>'OC, B, S'!G17</f>
        <v>0.78</v>
      </c>
      <c r="K16" s="1">
        <f>Microelements!E17</f>
        <v>9.19</v>
      </c>
      <c r="L16" s="1">
        <f>Microelements!G17</f>
        <v>6.09</v>
      </c>
      <c r="M16" s="1">
        <f>Microelements!I17</f>
        <v>4.84</v>
      </c>
    </row>
    <row r="17" spans="1:13" x14ac:dyDescent="0.35">
      <c r="A17" s="1">
        <f>'pH &amp; EC'!A17</f>
        <v>16</v>
      </c>
      <c r="B17" s="1">
        <f>'pH &amp; EC'!B17</f>
        <v>6.75</v>
      </c>
      <c r="C17" s="1">
        <f>'pH &amp; EC'!F17</f>
        <v>0.23</v>
      </c>
      <c r="D17" s="1">
        <f>'OC, B, S'!C18</f>
        <v>0.01</v>
      </c>
      <c r="E17" s="1">
        <f>NPK!D18</f>
        <v>188.16</v>
      </c>
      <c r="F17" s="1">
        <f>NPK!G18</f>
        <v>6.41</v>
      </c>
      <c r="G17" s="1">
        <f>NPK!J18</f>
        <v>38.08</v>
      </c>
      <c r="H17" s="1">
        <f>'OC, B, S'!J18</f>
        <v>7.63</v>
      </c>
      <c r="I17" s="1">
        <f>Microelements!C18</f>
        <v>1.72</v>
      </c>
      <c r="J17" s="1">
        <f>'OC, B, S'!G18</f>
        <v>1</v>
      </c>
      <c r="K17" s="1">
        <f>Microelements!E18</f>
        <v>16.309999999999999</v>
      </c>
      <c r="L17" s="1">
        <f>Microelements!G18</f>
        <v>8.06</v>
      </c>
      <c r="M17" s="1">
        <f>Microelements!I18</f>
        <v>3.51</v>
      </c>
    </row>
    <row r="18" spans="1:13" x14ac:dyDescent="0.35">
      <c r="A18" s="1">
        <f>'pH &amp; EC'!A18</f>
        <v>17</v>
      </c>
      <c r="B18" s="1">
        <f>'pH &amp; EC'!B18</f>
        <v>6.89</v>
      </c>
      <c r="C18" s="1">
        <f>'pH &amp; EC'!F18</f>
        <v>0.28000000000000003</v>
      </c>
      <c r="D18" s="1">
        <f>'OC, B, S'!C19</f>
        <v>0.01</v>
      </c>
      <c r="E18" s="1">
        <f>NPK!D19</f>
        <v>229.97</v>
      </c>
      <c r="F18" s="1">
        <f>NPK!G19</f>
        <v>6.29</v>
      </c>
      <c r="G18" s="1">
        <f>NPK!J19</f>
        <v>28</v>
      </c>
      <c r="H18" s="1">
        <f>'OC, B, S'!J19</f>
        <v>4.38</v>
      </c>
      <c r="I18" s="1">
        <f>Microelements!C19</f>
        <v>1.34</v>
      </c>
      <c r="J18" s="1">
        <f>'OC, B, S'!G19</f>
        <v>1.33</v>
      </c>
      <c r="K18" s="1">
        <f>Microelements!E19</f>
        <v>17.920000000000002</v>
      </c>
      <c r="L18" s="1">
        <f>Microelements!G19</f>
        <v>8.51</v>
      </c>
      <c r="M18" s="1">
        <f>Microelements!I19</f>
        <v>6.31</v>
      </c>
    </row>
    <row r="19" spans="1:13" x14ac:dyDescent="0.35">
      <c r="A19" s="1">
        <f>'pH &amp; EC'!A19</f>
        <v>18</v>
      </c>
      <c r="B19" s="1">
        <f>'pH &amp; EC'!B19</f>
        <v>6.6</v>
      </c>
      <c r="C19" s="1">
        <f>'pH &amp; EC'!F19</f>
        <v>0.19</v>
      </c>
      <c r="D19" s="1">
        <f>'OC, B, S'!C20</f>
        <v>0.01</v>
      </c>
      <c r="E19" s="1">
        <f>NPK!D20</f>
        <v>209.07</v>
      </c>
      <c r="F19" s="1">
        <f>NPK!G20</f>
        <v>6.62</v>
      </c>
      <c r="G19" s="1">
        <f>NPK!J20</f>
        <v>30.24</v>
      </c>
      <c r="H19" s="1">
        <f>'OC, B, S'!J20</f>
        <v>2.75</v>
      </c>
      <c r="I19" s="1">
        <f>Microelements!C20</f>
        <v>1.62</v>
      </c>
      <c r="J19" s="1">
        <f>'OC, B, S'!G20</f>
        <v>1.43</v>
      </c>
      <c r="K19" s="1">
        <f>Microelements!E20</f>
        <v>14.91</v>
      </c>
      <c r="L19" s="1">
        <f>Microelements!G20</f>
        <v>7.5</v>
      </c>
      <c r="M19" s="1">
        <f>Microelements!I20</f>
        <v>2.89</v>
      </c>
    </row>
    <row r="20" spans="1:13" x14ac:dyDescent="0.35">
      <c r="A20" s="1">
        <f>'pH &amp; EC'!A20</f>
        <v>19</v>
      </c>
      <c r="B20" s="1">
        <f>'pH &amp; EC'!B20</f>
        <v>6.79</v>
      </c>
      <c r="C20" s="1">
        <f>'pH &amp; EC'!F20</f>
        <v>0.26</v>
      </c>
      <c r="D20" s="1">
        <f>'OC, B, S'!C21</f>
        <v>0.01</v>
      </c>
      <c r="E20" s="1">
        <f>NPK!D21</f>
        <v>250.88</v>
      </c>
      <c r="F20" s="1">
        <f>NPK!G21</f>
        <v>6.04</v>
      </c>
      <c r="G20" s="1">
        <f>NPK!J21</f>
        <v>21.28</v>
      </c>
      <c r="H20" s="1">
        <f>'OC, B, S'!J21</f>
        <v>7.63</v>
      </c>
      <c r="I20" s="1">
        <f>Microelements!C21</f>
        <v>2.11</v>
      </c>
      <c r="J20" s="1">
        <f>'OC, B, S'!G21</f>
        <v>1.85</v>
      </c>
      <c r="K20" s="1">
        <f>Microelements!E21</f>
        <v>16.809999999999999</v>
      </c>
      <c r="L20" s="1">
        <f>Microelements!G21</f>
        <v>5.54</v>
      </c>
      <c r="M20" s="1">
        <f>Microelements!I21</f>
        <v>2.97</v>
      </c>
    </row>
    <row r="21" spans="1:13" x14ac:dyDescent="0.35">
      <c r="A21" s="1">
        <f>'pH &amp; EC'!A21</f>
        <v>20</v>
      </c>
      <c r="B21" s="1">
        <f>'pH &amp; EC'!B21</f>
        <v>6.89</v>
      </c>
      <c r="C21" s="1">
        <f>'pH &amp; EC'!F21</f>
        <v>0.21</v>
      </c>
      <c r="D21" s="1">
        <f>'OC, B, S'!C22</f>
        <v>0.01</v>
      </c>
      <c r="E21" s="1">
        <f>NPK!D22</f>
        <v>167.25</v>
      </c>
      <c r="F21" s="1">
        <f>NPK!G22</f>
        <v>5.16</v>
      </c>
      <c r="G21" s="1">
        <f>NPK!J22</f>
        <v>32.479999999999997</v>
      </c>
      <c r="H21" s="1">
        <f>'OC, B, S'!J22</f>
        <v>13.5</v>
      </c>
      <c r="I21" s="1">
        <f>Microelements!C22</f>
        <v>2.2999999999999998</v>
      </c>
      <c r="J21" s="1">
        <f>'OC, B, S'!G22</f>
        <v>1.38</v>
      </c>
      <c r="K21" s="1">
        <f>Microelements!E22</f>
        <v>15.49</v>
      </c>
      <c r="L21" s="1">
        <f>Microelements!G22</f>
        <v>5</v>
      </c>
      <c r="M21" s="1">
        <f>Microelements!I22</f>
        <v>5.91</v>
      </c>
    </row>
    <row r="22" spans="1:13" x14ac:dyDescent="0.35">
      <c r="A22" s="1">
        <f>'pH &amp; EC'!A22</f>
        <v>21</v>
      </c>
      <c r="B22" s="1">
        <f>'pH &amp; EC'!B22</f>
        <v>6.71</v>
      </c>
      <c r="C22" s="1">
        <f>'pH &amp; EC'!F22</f>
        <v>0.28000000000000003</v>
      </c>
      <c r="D22" s="1">
        <f>'OC, B, S'!C23</f>
        <v>0.01</v>
      </c>
      <c r="E22" s="1">
        <f>NPK!D23</f>
        <v>209.07</v>
      </c>
      <c r="F22" s="1">
        <f>NPK!G23</f>
        <v>5.62</v>
      </c>
      <c r="G22" s="1">
        <f>NPK!J23</f>
        <v>40.32</v>
      </c>
      <c r="H22" s="1">
        <f>'OC, B, S'!J23</f>
        <v>7.63</v>
      </c>
      <c r="I22" s="1">
        <f>Microelements!C23</f>
        <v>1.33</v>
      </c>
      <c r="J22" s="1">
        <f>'OC, B, S'!G23</f>
        <v>3.9</v>
      </c>
      <c r="K22" s="1">
        <f>Microelements!E23</f>
        <v>18.09</v>
      </c>
      <c r="L22" s="1">
        <f>Microelements!G23</f>
        <v>5.0999999999999996</v>
      </c>
      <c r="M22" s="1">
        <f>Microelements!I23</f>
        <v>2.67</v>
      </c>
    </row>
    <row r="23" spans="1:13" x14ac:dyDescent="0.35">
      <c r="A23" s="1">
        <f>'pH &amp; EC'!A23</f>
        <v>22</v>
      </c>
      <c r="B23" s="1">
        <f>'pH &amp; EC'!B23</f>
        <v>6.77</v>
      </c>
      <c r="C23" s="1">
        <f>'pH &amp; EC'!F23</f>
        <v>0.18</v>
      </c>
      <c r="D23" s="1">
        <f>'OC, B, S'!C24</f>
        <v>0.01</v>
      </c>
      <c r="E23" s="1">
        <f>NPK!D24</f>
        <v>209.07</v>
      </c>
      <c r="F23" s="1">
        <f>NPK!G24</f>
        <v>4.62</v>
      </c>
      <c r="G23" s="1">
        <f>NPK!J24</f>
        <v>47.04</v>
      </c>
      <c r="H23" s="1">
        <f>'OC, B, S'!J24</f>
        <v>13.5</v>
      </c>
      <c r="I23" s="1">
        <f>Microelements!C24</f>
        <v>2.13</v>
      </c>
      <c r="J23" s="1">
        <f>'OC, B, S'!G24</f>
        <v>2.2999999999999998</v>
      </c>
      <c r="K23" s="1">
        <f>Microelements!E24</f>
        <v>15.38</v>
      </c>
      <c r="L23" s="1">
        <f>Microelements!G24</f>
        <v>4.3</v>
      </c>
      <c r="M23" s="1">
        <f>Microelements!I24</f>
        <v>3.2</v>
      </c>
    </row>
    <row r="24" spans="1:13" x14ac:dyDescent="0.35">
      <c r="A24" s="1">
        <f>'pH &amp; EC'!A24</f>
        <v>23</v>
      </c>
      <c r="B24" s="1">
        <f>'pH &amp; EC'!B24</f>
        <v>6.73</v>
      </c>
      <c r="C24" s="1">
        <f>'pH &amp; EC'!F24</f>
        <v>0.26</v>
      </c>
      <c r="D24" s="1">
        <f>'OC, B, S'!C25</f>
        <v>0.01</v>
      </c>
      <c r="E24" s="1">
        <f>NPK!D25</f>
        <v>209.07</v>
      </c>
      <c r="F24" s="1">
        <f>NPK!G25</f>
        <v>4.33</v>
      </c>
      <c r="G24" s="1">
        <f>NPK!J25</f>
        <v>66.08</v>
      </c>
      <c r="H24" s="1">
        <f>'OC, B, S'!J25</f>
        <v>13</v>
      </c>
      <c r="I24" s="1">
        <f>Microelements!C25</f>
        <v>1.41</v>
      </c>
      <c r="J24" s="1">
        <f>'OC, B, S'!G25</f>
        <v>1.65</v>
      </c>
      <c r="K24" s="1">
        <f>Microelements!E25</f>
        <v>16.73</v>
      </c>
      <c r="L24" s="1">
        <f>Microelements!G25</f>
        <v>6.03</v>
      </c>
      <c r="M24" s="1">
        <f>Microelements!I25</f>
        <v>2.27</v>
      </c>
    </row>
    <row r="25" spans="1:13" x14ac:dyDescent="0.35">
      <c r="A25" s="1">
        <f>'pH &amp; EC'!A25</f>
        <v>24</v>
      </c>
      <c r="B25" s="1">
        <f>'pH &amp; EC'!B25</f>
        <v>6.67</v>
      </c>
      <c r="C25" s="1">
        <f>'pH &amp; EC'!F25</f>
        <v>0.22</v>
      </c>
      <c r="D25" s="1">
        <f>'OC, B, S'!C26</f>
        <v>0.01</v>
      </c>
      <c r="E25" s="1">
        <f>NPK!D26</f>
        <v>229.97</v>
      </c>
      <c r="F25" s="1">
        <f>NPK!G26</f>
        <v>4.75</v>
      </c>
      <c r="G25" s="1">
        <f>NPK!J26</f>
        <v>57.12</v>
      </c>
      <c r="H25" s="1">
        <f>'OC, B, S'!J26</f>
        <v>7.63</v>
      </c>
      <c r="I25" s="1">
        <f>Microelements!C26</f>
        <v>1.2</v>
      </c>
      <c r="J25" s="1">
        <f>'OC, B, S'!G26</f>
        <v>1.38</v>
      </c>
      <c r="K25" s="1">
        <f>Microelements!E26</f>
        <v>16.239999999999998</v>
      </c>
      <c r="L25" s="1">
        <f>Microelements!G26</f>
        <v>2.5299999999999998</v>
      </c>
      <c r="M25" s="1">
        <f>Microelements!I26</f>
        <v>3.69</v>
      </c>
    </row>
    <row r="26" spans="1:13" x14ac:dyDescent="0.35">
      <c r="A26" s="1">
        <f>'pH &amp; EC'!A26</f>
        <v>25</v>
      </c>
      <c r="B26" s="1">
        <f>'pH &amp; EC'!B26</f>
        <v>6.81</v>
      </c>
      <c r="C26" s="1">
        <f>'pH &amp; EC'!F26</f>
        <v>0.22</v>
      </c>
      <c r="D26" s="1">
        <f>'OC, B, S'!C27</f>
        <v>0.01</v>
      </c>
      <c r="E26" s="1">
        <f>NPK!D27</f>
        <v>271.79000000000002</v>
      </c>
      <c r="F26" s="1">
        <f>NPK!G27</f>
        <v>6.37</v>
      </c>
      <c r="G26" s="1">
        <f>NPK!J27</f>
        <v>58.24</v>
      </c>
      <c r="H26" s="1">
        <f>'OC, B, S'!J27</f>
        <v>9.25</v>
      </c>
      <c r="I26" s="1">
        <f>Microelements!C27</f>
        <v>1.57</v>
      </c>
      <c r="J26" s="1">
        <f>'OC, B, S'!G27</f>
        <v>1.4</v>
      </c>
      <c r="K26" s="1">
        <f>Microelements!E27</f>
        <v>16.79</v>
      </c>
      <c r="L26" s="1">
        <f>Microelements!G27</f>
        <v>2.4700000000000002</v>
      </c>
      <c r="M26" s="1">
        <f>Microelements!I27</f>
        <v>5.8</v>
      </c>
    </row>
    <row r="27" spans="1:13" x14ac:dyDescent="0.35">
      <c r="A27" s="1">
        <f>'pH &amp; EC'!A27</f>
        <v>26</v>
      </c>
      <c r="B27" s="1">
        <f>'pH &amp; EC'!B27</f>
        <v>6.94</v>
      </c>
      <c r="C27" s="1">
        <f>'pH &amp; EC'!F27</f>
        <v>0.28000000000000003</v>
      </c>
      <c r="D27" s="1">
        <f>'OC, B, S'!C28</f>
        <v>0.01</v>
      </c>
      <c r="E27" s="1">
        <f>NPK!D28</f>
        <v>209.07</v>
      </c>
      <c r="F27" s="1">
        <f>NPK!G28</f>
        <v>5.87</v>
      </c>
      <c r="G27" s="1">
        <f>NPK!J28</f>
        <v>35.840000000000003</v>
      </c>
      <c r="H27" s="1">
        <f>'OC, B, S'!J28</f>
        <v>6.5</v>
      </c>
      <c r="I27" s="1">
        <f>Microelements!C28</f>
        <v>1.37</v>
      </c>
      <c r="J27" s="1">
        <f>'OC, B, S'!G28</f>
        <v>1.48</v>
      </c>
      <c r="K27" s="1">
        <f>Microelements!E28</f>
        <v>15.7</v>
      </c>
      <c r="L27" s="1">
        <f>Microelements!G28</f>
        <v>1.82</v>
      </c>
      <c r="M27" s="1">
        <f>Microelements!I28</f>
        <v>1.74</v>
      </c>
    </row>
    <row r="28" spans="1:13" x14ac:dyDescent="0.35">
      <c r="A28" s="1">
        <f>'pH &amp; EC'!A28</f>
        <v>27</v>
      </c>
      <c r="B28" s="1">
        <f>'pH &amp; EC'!B28</f>
        <v>6.95</v>
      </c>
      <c r="C28" s="1">
        <f>'pH &amp; EC'!F28</f>
        <v>0.2</v>
      </c>
      <c r="D28" s="1">
        <f>'OC, B, S'!C29</f>
        <v>0.01</v>
      </c>
      <c r="E28" s="1">
        <f>NPK!D29</f>
        <v>209.07</v>
      </c>
      <c r="F28" s="1">
        <f>NPK!G29</f>
        <v>4.25</v>
      </c>
      <c r="G28" s="1">
        <f>NPK!J29</f>
        <v>34.72</v>
      </c>
      <c r="H28" s="1">
        <f>'OC, B, S'!J29</f>
        <v>7</v>
      </c>
      <c r="I28" s="1">
        <f>Microelements!C29</f>
        <v>1.0900000000000001</v>
      </c>
      <c r="J28" s="1">
        <f>'OC, B, S'!G29</f>
        <v>1.53</v>
      </c>
      <c r="K28" s="1">
        <f>Microelements!E29</f>
        <v>14.27</v>
      </c>
      <c r="L28" s="1">
        <f>Microelements!G29</f>
        <v>1.21</v>
      </c>
      <c r="M28" s="1">
        <f>Microelements!I29</f>
        <v>12.39</v>
      </c>
    </row>
    <row r="29" spans="1:13" x14ac:dyDescent="0.35">
      <c r="A29" s="1">
        <f>'pH &amp; EC'!A29</f>
        <v>28</v>
      </c>
      <c r="B29" s="1">
        <f>'pH &amp; EC'!B29</f>
        <v>6.78</v>
      </c>
      <c r="C29" s="1">
        <f>'pH &amp; EC'!F29</f>
        <v>0.28999999999999998</v>
      </c>
      <c r="D29" s="1">
        <f>'OC, B, S'!C30</f>
        <v>0.01</v>
      </c>
      <c r="E29" s="1">
        <f>NPK!D30</f>
        <v>188.16</v>
      </c>
      <c r="F29" s="1">
        <f>NPK!G30</f>
        <v>5.5</v>
      </c>
      <c r="G29" s="1">
        <f>NPK!J30</f>
        <v>35.840000000000003</v>
      </c>
      <c r="H29" s="1">
        <f>'OC, B, S'!J30</f>
        <v>9.75</v>
      </c>
      <c r="I29" s="1">
        <f>Microelements!C30</f>
        <v>1.47</v>
      </c>
      <c r="J29" s="1">
        <f>'OC, B, S'!G30</f>
        <v>1.85</v>
      </c>
      <c r="K29" s="1">
        <f>Microelements!E30</f>
        <v>13.61</v>
      </c>
      <c r="L29" s="1">
        <f>Microelements!G30</f>
        <v>46.16</v>
      </c>
      <c r="M29" s="1">
        <f>Microelements!I30</f>
        <v>0.8</v>
      </c>
    </row>
    <row r="30" spans="1:13" x14ac:dyDescent="0.35">
      <c r="A30" s="1">
        <f>'pH &amp; EC'!A30</f>
        <v>29</v>
      </c>
      <c r="B30" s="1">
        <f>'pH &amp; EC'!B30</f>
        <v>6.83</v>
      </c>
      <c r="C30" s="1">
        <f>'pH &amp; EC'!F30</f>
        <v>0.21</v>
      </c>
      <c r="D30" s="1">
        <f>'OC, B, S'!C31</f>
        <v>0.01</v>
      </c>
      <c r="E30" s="1">
        <f>NPK!D31</f>
        <v>250.88</v>
      </c>
      <c r="F30" s="1">
        <f>NPK!G31</f>
        <v>6.29</v>
      </c>
      <c r="G30" s="1">
        <f>NPK!J31</f>
        <v>36.96</v>
      </c>
      <c r="H30" s="1">
        <f>'OC, B, S'!J31</f>
        <v>11.38</v>
      </c>
      <c r="I30" s="1">
        <f>Microelements!C31</f>
        <v>1.17</v>
      </c>
      <c r="J30" s="1">
        <f>'OC, B, S'!G31</f>
        <v>1.48</v>
      </c>
      <c r="K30" s="1">
        <f>Microelements!E31</f>
        <v>17.809999999999999</v>
      </c>
      <c r="L30" s="1">
        <f>Microelements!G31</f>
        <v>45.4</v>
      </c>
      <c r="M30" s="1">
        <f>Microelements!I31</f>
        <v>0.66</v>
      </c>
    </row>
    <row r="31" spans="1:13" x14ac:dyDescent="0.35">
      <c r="A31" s="1">
        <f>'pH &amp; EC'!A31</f>
        <v>30</v>
      </c>
      <c r="B31" s="1">
        <f>'pH &amp; EC'!B31</f>
        <v>6.98</v>
      </c>
      <c r="C31" s="1">
        <f>'pH &amp; EC'!F31</f>
        <v>0.33</v>
      </c>
      <c r="D31" s="1">
        <f>'OC, B, S'!C32</f>
        <v>0.01</v>
      </c>
      <c r="E31" s="1">
        <f>NPK!D32</f>
        <v>188.16</v>
      </c>
      <c r="F31" s="1">
        <f>NPK!G32</f>
        <v>5.16</v>
      </c>
      <c r="G31" s="1">
        <f>NPK!J32</f>
        <v>38.08</v>
      </c>
      <c r="H31" s="1">
        <f>'OC, B, S'!J32</f>
        <v>9.25</v>
      </c>
      <c r="I31" s="1">
        <f>Microelements!C32</f>
        <v>1.39</v>
      </c>
      <c r="J31" s="1">
        <f>'OC, B, S'!G32</f>
        <v>0.78</v>
      </c>
      <c r="K31" s="1">
        <f>Microelements!E32</f>
        <v>12.85</v>
      </c>
      <c r="L31" s="1">
        <f>Microelements!G32</f>
        <v>43.14</v>
      </c>
      <c r="M31" s="1">
        <f>Microelements!I32</f>
        <v>1.08</v>
      </c>
    </row>
    <row r="32" spans="1:13" x14ac:dyDescent="0.35">
      <c r="A32" s="1">
        <f>'pH &amp; EC'!A32</f>
        <v>31</v>
      </c>
      <c r="B32" s="1">
        <f>'pH &amp; EC'!B32</f>
        <v>6.71</v>
      </c>
      <c r="C32" s="1">
        <f>'pH &amp; EC'!F32</f>
        <v>0.67</v>
      </c>
      <c r="D32" s="1">
        <f>'OC, B, S'!C33</f>
        <v>0.01</v>
      </c>
      <c r="E32" s="1">
        <f>NPK!D33</f>
        <v>146.35</v>
      </c>
      <c r="F32" s="1">
        <f>NPK!G33</f>
        <v>5.08</v>
      </c>
      <c r="G32" s="1">
        <f>NPK!J33</f>
        <v>39.200000000000003</v>
      </c>
      <c r="H32" s="1">
        <f>'OC, B, S'!J33</f>
        <v>11.88</v>
      </c>
      <c r="I32" s="1">
        <f>Microelements!C33</f>
        <v>1.68</v>
      </c>
      <c r="J32" s="1">
        <f>'OC, B, S'!G33</f>
        <v>1.43</v>
      </c>
      <c r="K32" s="1">
        <f>Microelements!E33</f>
        <v>8.86</v>
      </c>
      <c r="L32" s="1">
        <f>Microelements!G33</f>
        <v>21.97</v>
      </c>
      <c r="M32" s="1">
        <f>Microelements!I33</f>
        <v>30.31</v>
      </c>
    </row>
    <row r="33" spans="1:13" x14ac:dyDescent="0.35">
      <c r="A33" s="1">
        <f>'pH &amp; EC'!A33</f>
        <v>32</v>
      </c>
      <c r="B33" s="1">
        <f>'pH &amp; EC'!B33</f>
        <v>6.46</v>
      </c>
      <c r="C33" s="1">
        <f>'pH &amp; EC'!F33</f>
        <v>0.27</v>
      </c>
      <c r="D33" s="1">
        <f>'OC, B, S'!C34</f>
        <v>0.01</v>
      </c>
      <c r="E33" s="1">
        <f>NPK!D34</f>
        <v>209.07</v>
      </c>
      <c r="F33" s="1">
        <f>NPK!G34</f>
        <v>5.5</v>
      </c>
      <c r="G33" s="1">
        <f>NPK!J34</f>
        <v>41.44</v>
      </c>
      <c r="H33" s="1">
        <f>'OC, B, S'!J34</f>
        <v>13</v>
      </c>
      <c r="I33" s="1">
        <f>Microelements!C34</f>
        <v>1.38</v>
      </c>
      <c r="J33" s="1">
        <f>'OC, B, S'!G34</f>
        <v>1.5</v>
      </c>
      <c r="K33" s="1">
        <f>Microelements!E34</f>
        <v>8.24</v>
      </c>
      <c r="L33" s="1">
        <f>Microelements!G34</f>
        <v>21.53</v>
      </c>
      <c r="M33" s="1">
        <f>Microelements!I34</f>
        <v>2.66</v>
      </c>
    </row>
    <row r="34" spans="1:13" x14ac:dyDescent="0.35">
      <c r="A34" s="1">
        <f>'pH &amp; EC'!A34</f>
        <v>33</v>
      </c>
      <c r="B34" s="1">
        <f>'pH &amp; EC'!B34</f>
        <v>6.58</v>
      </c>
      <c r="C34" s="1">
        <f>'pH &amp; EC'!F34</f>
        <v>0.26</v>
      </c>
      <c r="D34" s="1">
        <f>'OC, B, S'!C35</f>
        <v>0.01</v>
      </c>
      <c r="E34" s="1">
        <f>NPK!D35</f>
        <v>209.07</v>
      </c>
      <c r="F34" s="1">
        <f>NPK!G35</f>
        <v>5.5</v>
      </c>
      <c r="G34" s="1">
        <f>NPK!J35</f>
        <v>42.56</v>
      </c>
      <c r="H34" s="1">
        <f>'OC, B, S'!J35</f>
        <v>7.63</v>
      </c>
      <c r="I34" s="1">
        <f>Microelements!C35</f>
        <v>1.35</v>
      </c>
      <c r="J34" s="1">
        <f>'OC, B, S'!G35</f>
        <v>1.38</v>
      </c>
      <c r="K34" s="1">
        <f>Microelements!E35</f>
        <v>9.2200000000000006</v>
      </c>
      <c r="L34" s="1">
        <f>Microelements!G35</f>
        <v>20.82</v>
      </c>
      <c r="M34" s="1">
        <f>Microelements!I35</f>
        <v>3.64</v>
      </c>
    </row>
    <row r="35" spans="1:13" x14ac:dyDescent="0.35">
      <c r="A35" s="1">
        <f>'pH &amp; EC'!A35</f>
        <v>34</v>
      </c>
      <c r="B35" s="1">
        <f>'pH &amp; EC'!B35</f>
        <v>6.52</v>
      </c>
      <c r="C35" s="1">
        <f>'pH &amp; EC'!F35</f>
        <v>0.31</v>
      </c>
      <c r="D35" s="1">
        <f>'OC, B, S'!C36</f>
        <v>0.01</v>
      </c>
      <c r="E35" s="1">
        <f>NPK!D36</f>
        <v>188.16</v>
      </c>
      <c r="F35" s="1">
        <f>NPK!G36</f>
        <v>5.33</v>
      </c>
      <c r="G35" s="1">
        <f>NPK!J36</f>
        <v>43.68</v>
      </c>
      <c r="H35" s="1">
        <f>'OC, B, S'!J36</f>
        <v>7.63</v>
      </c>
      <c r="I35" s="1">
        <f>Microelements!C36</f>
        <v>1.1200000000000001</v>
      </c>
      <c r="J35" s="1">
        <f>'OC, B, S'!G36</f>
        <v>1.4</v>
      </c>
      <c r="K35" s="1">
        <f>Microelements!E36</f>
        <v>8.2200000000000006</v>
      </c>
      <c r="L35" s="1">
        <f>Microelements!G36</f>
        <v>21.82</v>
      </c>
      <c r="M35" s="1">
        <f>Microelements!I36</f>
        <v>2.71</v>
      </c>
    </row>
    <row r="36" spans="1:13" x14ac:dyDescent="0.35">
      <c r="A36" s="1">
        <f>'pH &amp; EC'!A36</f>
        <v>35</v>
      </c>
      <c r="B36" s="1">
        <f>'pH &amp; EC'!B36</f>
        <v>6.84</v>
      </c>
      <c r="C36" s="1">
        <f>'pH &amp; EC'!F36</f>
        <v>0.23</v>
      </c>
      <c r="D36" s="1">
        <f>'OC, B, S'!C37</f>
        <v>0.01</v>
      </c>
      <c r="E36" s="1">
        <f>NPK!D37</f>
        <v>250.88</v>
      </c>
      <c r="F36" s="1">
        <f>NPK!G37</f>
        <v>6.25</v>
      </c>
      <c r="G36" s="1">
        <f>NPK!J37</f>
        <v>41.44</v>
      </c>
      <c r="H36" s="1">
        <f>'OC, B, S'!J37</f>
        <v>16.25</v>
      </c>
      <c r="I36" s="1">
        <f>Microelements!C37</f>
        <v>1.6</v>
      </c>
      <c r="J36" s="1">
        <f>'OC, B, S'!G37</f>
        <v>1.5</v>
      </c>
      <c r="K36" s="1">
        <f>Microelements!E37</f>
        <v>8.75</v>
      </c>
      <c r="L36" s="1">
        <f>Microelements!G37</f>
        <v>21.97</v>
      </c>
      <c r="M36" s="1">
        <f>Microelements!I37</f>
        <v>6.69</v>
      </c>
    </row>
    <row r="37" spans="1:13" x14ac:dyDescent="0.35">
      <c r="A37" s="1">
        <f>'pH &amp; EC'!A37</f>
        <v>36</v>
      </c>
      <c r="B37" s="1">
        <f>'pH &amp; EC'!B37</f>
        <v>6.56</v>
      </c>
      <c r="C37" s="1">
        <f>'pH &amp; EC'!F37</f>
        <v>0.21</v>
      </c>
      <c r="D37" s="1">
        <f>'OC, B, S'!C38</f>
        <v>0.01</v>
      </c>
      <c r="E37" s="1">
        <f>NPK!D38</f>
        <v>167.25</v>
      </c>
      <c r="F37" s="1">
        <f>NPK!G38</f>
        <v>5.12</v>
      </c>
      <c r="G37" s="1">
        <f>NPK!J38</f>
        <v>42.56</v>
      </c>
      <c r="H37" s="1">
        <f>'OC, B, S'!J38</f>
        <v>7.63</v>
      </c>
      <c r="I37" s="1">
        <f>Microelements!C38</f>
        <v>1.5</v>
      </c>
      <c r="J37" s="1">
        <f>'OC, B, S'!G38</f>
        <v>1.48</v>
      </c>
      <c r="K37" s="1">
        <f>Microelements!E38</f>
        <v>8.01</v>
      </c>
      <c r="L37" s="1">
        <f>Microelements!G38</f>
        <v>20.75</v>
      </c>
      <c r="M37" s="1">
        <f>Microelements!I38</f>
        <v>2.82</v>
      </c>
    </row>
    <row r="38" spans="1:13" x14ac:dyDescent="0.35">
      <c r="A38" s="1">
        <f>'pH &amp; EC'!A38</f>
        <v>37</v>
      </c>
      <c r="B38" s="1">
        <f>'pH &amp; EC'!B38</f>
        <v>6.42</v>
      </c>
      <c r="C38" s="1">
        <f>'pH &amp; EC'!F38</f>
        <v>0.2</v>
      </c>
      <c r="D38" s="1">
        <f>'OC, B, S'!C39</f>
        <v>0.01</v>
      </c>
      <c r="E38" s="1">
        <f>NPK!D39</f>
        <v>167.25</v>
      </c>
      <c r="F38" s="1">
        <f>NPK!G39</f>
        <v>5.75</v>
      </c>
      <c r="G38" s="1">
        <f>NPK!J39</f>
        <v>43.68</v>
      </c>
      <c r="H38" s="1">
        <f>'OC, B, S'!J39</f>
        <v>7.63</v>
      </c>
      <c r="I38" s="1">
        <f>Microelements!C39</f>
        <v>1.36</v>
      </c>
      <c r="J38" s="1">
        <f>'OC, B, S'!G39</f>
        <v>1.73</v>
      </c>
      <c r="K38" s="1">
        <f>Microelements!E39</f>
        <v>8.5500000000000007</v>
      </c>
      <c r="L38" s="1">
        <f>Microelements!G39</f>
        <v>19.57</v>
      </c>
      <c r="M38" s="1">
        <f>Microelements!I39</f>
        <v>3.41</v>
      </c>
    </row>
    <row r="39" spans="1:13" x14ac:dyDescent="0.35">
      <c r="A39" s="1">
        <f>'pH &amp; EC'!A39</f>
        <v>38</v>
      </c>
      <c r="B39" s="1">
        <f>'pH &amp; EC'!B39</f>
        <v>6.45</v>
      </c>
      <c r="C39" s="1">
        <f>'pH &amp; EC'!F39</f>
        <v>0.22</v>
      </c>
      <c r="D39" s="1">
        <f>'OC, B, S'!C40</f>
        <v>0.01</v>
      </c>
      <c r="E39" s="1">
        <f>NPK!D40</f>
        <v>167.25</v>
      </c>
      <c r="F39" s="1">
        <f>NPK!G40</f>
        <v>6.66</v>
      </c>
      <c r="G39" s="1">
        <f>NPK!J40</f>
        <v>44.8</v>
      </c>
      <c r="H39" s="1">
        <f>'OC, B, S'!J40</f>
        <v>13.5</v>
      </c>
      <c r="I39" s="1">
        <f>Microelements!C40</f>
        <v>1.43</v>
      </c>
      <c r="J39" s="1">
        <f>'OC, B, S'!G40</f>
        <v>1.28</v>
      </c>
      <c r="K39" s="1">
        <f>Microelements!E40</f>
        <v>8.8699999999999992</v>
      </c>
      <c r="L39" s="1">
        <f>Microelements!G40</f>
        <v>21.2</v>
      </c>
      <c r="M39" s="1">
        <f>Microelements!I40</f>
        <v>11.79</v>
      </c>
    </row>
    <row r="40" spans="1:13" x14ac:dyDescent="0.35">
      <c r="A40" s="1">
        <f>'pH &amp; EC'!A40</f>
        <v>39</v>
      </c>
      <c r="B40" s="1">
        <f>'pH &amp; EC'!B40</f>
        <v>6.59</v>
      </c>
      <c r="C40" s="1">
        <f>'pH &amp; EC'!F40</f>
        <v>0.21</v>
      </c>
      <c r="D40" s="1">
        <f>'OC, B, S'!C41</f>
        <v>0.01</v>
      </c>
      <c r="E40" s="1">
        <f>NPK!D41</f>
        <v>229.97</v>
      </c>
      <c r="F40" s="1">
        <f>NPK!G41</f>
        <v>7.66</v>
      </c>
      <c r="G40" s="1">
        <f>NPK!J41</f>
        <v>50.4</v>
      </c>
      <c r="H40" s="1">
        <f>'OC, B, S'!J41</f>
        <v>9.75</v>
      </c>
      <c r="I40" s="1">
        <f>Microelements!C41</f>
        <v>0.85</v>
      </c>
      <c r="J40" s="1">
        <f>'OC, B, S'!G41</f>
        <v>1.28</v>
      </c>
      <c r="K40" s="1">
        <f>Microelements!E41</f>
        <v>8.14</v>
      </c>
      <c r="L40" s="1">
        <f>Microelements!G41</f>
        <v>20.260000000000002</v>
      </c>
      <c r="M40" s="1">
        <f>Microelements!I41</f>
        <v>4.3</v>
      </c>
    </row>
    <row r="41" spans="1:13" x14ac:dyDescent="0.35">
      <c r="A41" s="1">
        <f>'pH &amp; EC'!A41</f>
        <v>40</v>
      </c>
      <c r="B41" s="1">
        <f>'pH &amp; EC'!B41</f>
        <v>6.87</v>
      </c>
      <c r="C41" s="1">
        <f>'pH &amp; EC'!F41</f>
        <v>0.2</v>
      </c>
      <c r="D41" s="1">
        <f>'OC, B, S'!C42</f>
        <v>0.01</v>
      </c>
      <c r="E41" s="1">
        <f>NPK!D42</f>
        <v>209.07</v>
      </c>
      <c r="F41" s="1">
        <f>NPK!G42</f>
        <v>5.58</v>
      </c>
      <c r="G41" s="1">
        <f>NPK!J42</f>
        <v>45.92</v>
      </c>
      <c r="H41" s="1">
        <f>'OC, B, S'!J42</f>
        <v>3.75</v>
      </c>
      <c r="I41" s="1">
        <f>Microelements!C42</f>
        <v>0.8</v>
      </c>
      <c r="J41" s="1">
        <f>'OC, B, S'!G42</f>
        <v>1.43</v>
      </c>
      <c r="K41" s="1">
        <f>Microelements!E42</f>
        <v>7.76</v>
      </c>
      <c r="L41" s="1">
        <f>Microelements!G42</f>
        <v>21.27</v>
      </c>
      <c r="M41" s="1">
        <f>Microelements!I42</f>
        <v>3.13</v>
      </c>
    </row>
    <row r="42" spans="1:13" x14ac:dyDescent="0.35">
      <c r="A42" s="1">
        <f>'pH &amp; EC'!A42</f>
        <v>41</v>
      </c>
      <c r="B42" s="1">
        <f>'pH &amp; EC'!B42</f>
        <v>6.88</v>
      </c>
      <c r="C42" s="1">
        <f>'pH &amp; EC'!F42</f>
        <v>0.31</v>
      </c>
      <c r="D42" s="1">
        <f>'OC, B, S'!C43</f>
        <v>0.01</v>
      </c>
      <c r="E42" s="1">
        <f>NPK!D43</f>
        <v>188.16</v>
      </c>
      <c r="F42" s="1">
        <f>NPK!G43</f>
        <v>5.91</v>
      </c>
      <c r="G42" s="1">
        <f>NPK!J43</f>
        <v>45.92</v>
      </c>
      <c r="H42" s="1">
        <f>'OC, B, S'!J43</f>
        <v>2.13</v>
      </c>
      <c r="I42" s="1">
        <f>Microelements!C43</f>
        <v>1.1299999999999999</v>
      </c>
      <c r="J42" s="1">
        <f>'OC, B, S'!G43</f>
        <v>1.45</v>
      </c>
      <c r="K42" s="1">
        <f>Microelements!E43</f>
        <v>8.39</v>
      </c>
      <c r="L42" s="1">
        <f>Microelements!G43</f>
        <v>22.91</v>
      </c>
      <c r="M42" s="1">
        <f>Microelements!I43</f>
        <v>3.4</v>
      </c>
    </row>
    <row r="43" spans="1:13" x14ac:dyDescent="0.35">
      <c r="A43" s="1">
        <f>'pH &amp; EC'!A43</f>
        <v>42</v>
      </c>
      <c r="B43" s="1">
        <f>'pH &amp; EC'!B43</f>
        <v>6.98</v>
      </c>
      <c r="C43" s="1">
        <f>'pH &amp; EC'!F43</f>
        <v>0.32</v>
      </c>
      <c r="D43" s="1">
        <f>'OC, B, S'!C44</f>
        <v>0.01</v>
      </c>
      <c r="E43" s="1">
        <f>NPK!D44</f>
        <v>209.07</v>
      </c>
      <c r="F43" s="1">
        <f>NPK!G44</f>
        <v>5.46</v>
      </c>
      <c r="G43" s="1">
        <f>NPK!J44</f>
        <v>51.52</v>
      </c>
      <c r="H43" s="1">
        <f>'OC, B, S'!J44</f>
        <v>2.75</v>
      </c>
      <c r="I43" s="1">
        <f>Microelements!C44</f>
        <v>0.99</v>
      </c>
      <c r="J43" s="1">
        <f>'OC, B, S'!G44</f>
        <v>1.35</v>
      </c>
      <c r="K43" s="1">
        <f>Microelements!E44</f>
        <v>7.13</v>
      </c>
      <c r="L43" s="1">
        <f>Microelements!G44</f>
        <v>20.329999999999998</v>
      </c>
      <c r="M43" s="1">
        <f>Microelements!I44</f>
        <v>6.33</v>
      </c>
    </row>
    <row r="44" spans="1:13" x14ac:dyDescent="0.35">
      <c r="A44" s="1">
        <f>'pH &amp; EC'!A44</f>
        <v>43</v>
      </c>
      <c r="B44" s="1">
        <f>'pH &amp; EC'!B44</f>
        <v>6.75</v>
      </c>
      <c r="C44" s="1">
        <f>'pH &amp; EC'!F44</f>
        <v>0.17</v>
      </c>
      <c r="D44" s="1">
        <f>'OC, B, S'!C45</f>
        <v>0.01</v>
      </c>
      <c r="E44" s="1">
        <f>NPK!D45</f>
        <v>229.97</v>
      </c>
      <c r="F44" s="1">
        <f>NPK!G45</f>
        <v>4.29</v>
      </c>
      <c r="G44" s="1">
        <f>NPK!J45</f>
        <v>31.36</v>
      </c>
      <c r="H44" s="1">
        <f>'OC, B, S'!J45</f>
        <v>2.13</v>
      </c>
      <c r="I44" s="1">
        <f>Microelements!C45</f>
        <v>1.08</v>
      </c>
      <c r="J44" s="1">
        <f>'OC, B, S'!G45</f>
        <v>1.4</v>
      </c>
      <c r="K44" s="1">
        <f>Microelements!E45</f>
        <v>7.33</v>
      </c>
      <c r="L44" s="1">
        <f>Microelements!G45</f>
        <v>21.46</v>
      </c>
      <c r="M44" s="1">
        <f>Microelements!I45</f>
        <v>2.88</v>
      </c>
    </row>
    <row r="45" spans="1:13" x14ac:dyDescent="0.35">
      <c r="A45" s="1">
        <f>'pH &amp; EC'!A45</f>
        <v>44</v>
      </c>
      <c r="B45" s="1">
        <f>'pH &amp; EC'!B45</f>
        <v>6.41</v>
      </c>
      <c r="C45" s="1">
        <f>'pH &amp; EC'!F45</f>
        <v>0.17</v>
      </c>
      <c r="D45" s="1">
        <f>'OC, B, S'!C46</f>
        <v>0.01</v>
      </c>
      <c r="E45" s="1">
        <f>NPK!D46</f>
        <v>167.25</v>
      </c>
      <c r="F45" s="1">
        <f>NPK!G46</f>
        <v>5.33</v>
      </c>
      <c r="G45" s="1">
        <f>NPK!J46</f>
        <v>32.479999999999997</v>
      </c>
      <c r="H45" s="1">
        <f>'OC, B, S'!J46</f>
        <v>1.1299999999999999</v>
      </c>
      <c r="I45" s="1">
        <f>Microelements!C46</f>
        <v>1.02</v>
      </c>
      <c r="J45" s="1">
        <f>'OC, B, S'!G46</f>
        <v>1.68</v>
      </c>
      <c r="K45" s="1">
        <f>Microelements!E46</f>
        <v>7.07</v>
      </c>
      <c r="L45" s="1">
        <f>Microelements!G46</f>
        <v>20.03</v>
      </c>
      <c r="M45" s="1">
        <f>Microelements!I46</f>
        <v>5.3</v>
      </c>
    </row>
    <row r="46" spans="1:13" x14ac:dyDescent="0.35">
      <c r="A46" s="1">
        <f>'pH &amp; EC'!A46</f>
        <v>45</v>
      </c>
      <c r="B46" s="1">
        <f>'pH &amp; EC'!B46</f>
        <v>6.66</v>
      </c>
      <c r="C46" s="1">
        <f>'pH &amp; EC'!F46</f>
        <v>0.24</v>
      </c>
      <c r="D46" s="1">
        <f>'OC, B, S'!C47</f>
        <v>0.01</v>
      </c>
      <c r="E46" s="1">
        <f>NPK!D47</f>
        <v>146.35</v>
      </c>
      <c r="F46" s="1">
        <f>NPK!G47</f>
        <v>5.75</v>
      </c>
      <c r="G46" s="1">
        <f>NPK!J47</f>
        <v>16.8</v>
      </c>
      <c r="H46" s="1">
        <f>'OC, B, S'!J47</f>
        <v>2.13</v>
      </c>
      <c r="I46" s="1">
        <f>Microelements!C47</f>
        <v>0.99</v>
      </c>
      <c r="J46" s="1">
        <f>'OC, B, S'!G47</f>
        <v>1.88</v>
      </c>
      <c r="K46" s="1">
        <f>Microelements!E47</f>
        <v>6.07</v>
      </c>
      <c r="L46" s="1">
        <f>Microelements!G47</f>
        <v>21.12</v>
      </c>
      <c r="M46" s="1">
        <f>Microelements!I47</f>
        <v>2.72</v>
      </c>
    </row>
    <row r="47" spans="1:13" x14ac:dyDescent="0.35">
      <c r="A47" s="1">
        <f>'pH &amp; EC'!A47</f>
        <v>46</v>
      </c>
      <c r="B47" s="1">
        <f>'pH &amp; EC'!B47</f>
        <v>6.73</v>
      </c>
      <c r="C47" s="1">
        <f>'pH &amp; EC'!F47</f>
        <v>0.3</v>
      </c>
      <c r="D47" s="1">
        <f>'OC, B, S'!C48</f>
        <v>0.01</v>
      </c>
      <c r="E47" s="1">
        <f>NPK!D48</f>
        <v>209.07</v>
      </c>
      <c r="F47" s="1">
        <f>NPK!G48</f>
        <v>5.37</v>
      </c>
      <c r="G47" s="1">
        <f>NPK!J48</f>
        <v>29.12</v>
      </c>
      <c r="H47" s="1">
        <f>'OC, B, S'!J48</f>
        <v>9.75</v>
      </c>
      <c r="I47" s="1">
        <f>Microelements!C48</f>
        <v>2.12</v>
      </c>
      <c r="J47" s="1">
        <f>'OC, B, S'!G48</f>
        <v>1.25</v>
      </c>
      <c r="K47" s="1">
        <f>Microelements!E48</f>
        <v>7.44</v>
      </c>
      <c r="L47" s="1">
        <f>Microelements!G48</f>
        <v>19.32</v>
      </c>
      <c r="M47" s="1">
        <f>Microelements!I48</f>
        <v>4.91</v>
      </c>
    </row>
    <row r="48" spans="1:13" x14ac:dyDescent="0.35">
      <c r="A48" s="1">
        <f>'pH &amp; EC'!A48</f>
        <v>47</v>
      </c>
      <c r="B48" s="1">
        <f>'pH &amp; EC'!B48</f>
        <v>6.75</v>
      </c>
      <c r="C48" s="1">
        <f>'pH &amp; EC'!F48</f>
        <v>0.23</v>
      </c>
      <c r="D48" s="1">
        <f>'OC, B, S'!C49</f>
        <v>0.01</v>
      </c>
      <c r="E48" s="1">
        <f>NPK!D49</f>
        <v>188.16</v>
      </c>
      <c r="F48" s="1">
        <f>NPK!G49</f>
        <v>5.04</v>
      </c>
      <c r="G48" s="1">
        <f>NPK!J49</f>
        <v>35.840000000000003</v>
      </c>
      <c r="H48" s="1">
        <f>'OC, B, S'!J49</f>
        <v>6.5</v>
      </c>
      <c r="I48" s="1">
        <f>Microelements!C49</f>
        <v>1.07</v>
      </c>
      <c r="J48" s="1">
        <f>'OC, B, S'!G49</f>
        <v>1.35</v>
      </c>
      <c r="K48" s="1">
        <f>Microelements!E49</f>
        <v>7.27</v>
      </c>
      <c r="L48" s="1">
        <f>Microelements!G49</f>
        <v>21.86</v>
      </c>
      <c r="M48" s="1">
        <f>Microelements!I49</f>
        <v>10.01</v>
      </c>
    </row>
    <row r="49" spans="1:13" x14ac:dyDescent="0.35">
      <c r="A49" s="1">
        <f>'pH &amp; EC'!A49</f>
        <v>48</v>
      </c>
      <c r="B49" s="1">
        <f>'pH &amp; EC'!B49</f>
        <v>6.84</v>
      </c>
      <c r="C49" s="1">
        <f>'pH &amp; EC'!F49</f>
        <v>0.3</v>
      </c>
      <c r="D49" s="1">
        <f>'OC, B, S'!C50</f>
        <v>0.01</v>
      </c>
      <c r="E49" s="1">
        <f>NPK!D50</f>
        <v>188.16</v>
      </c>
      <c r="F49" s="1">
        <f>NPK!G50</f>
        <v>4.75</v>
      </c>
      <c r="G49" s="1">
        <f>NPK!J50</f>
        <v>19.04</v>
      </c>
      <c r="H49" s="1">
        <f>'OC, B, S'!J50</f>
        <v>7</v>
      </c>
      <c r="I49" s="1">
        <f>Microelements!C50</f>
        <v>0.98</v>
      </c>
      <c r="J49" s="1">
        <f>'OC, B, S'!G50</f>
        <v>1.45</v>
      </c>
      <c r="K49" s="1">
        <f>Microelements!E50</f>
        <v>6.49</v>
      </c>
      <c r="L49" s="1">
        <f>Microelements!G50</f>
        <v>18.05</v>
      </c>
      <c r="M49" s="1">
        <f>Microelements!I50</f>
        <v>3.29</v>
      </c>
    </row>
    <row r="50" spans="1:13" x14ac:dyDescent="0.35">
      <c r="A50" s="1">
        <f>'pH &amp; EC'!A50</f>
        <v>49</v>
      </c>
      <c r="B50" s="1">
        <f>'pH &amp; EC'!B50</f>
        <v>6.88</v>
      </c>
      <c r="C50" s="1">
        <f>'pH &amp; EC'!F50</f>
        <v>0.28000000000000003</v>
      </c>
      <c r="D50" s="1">
        <f>'OC, B, S'!C51</f>
        <v>0.01</v>
      </c>
      <c r="E50" s="1">
        <f>NPK!D51</f>
        <v>209.07</v>
      </c>
      <c r="F50" s="1">
        <f>NPK!G51</f>
        <v>5.58</v>
      </c>
      <c r="G50" s="1">
        <f>NPK!J51</f>
        <v>36.96</v>
      </c>
      <c r="H50" s="1">
        <f>'OC, B, S'!J51</f>
        <v>6</v>
      </c>
      <c r="I50" s="1">
        <f>Microelements!C51</f>
        <v>0.8</v>
      </c>
      <c r="J50" s="1">
        <f>'OC, B, S'!G51</f>
        <v>2.25</v>
      </c>
      <c r="K50" s="1">
        <f>Microelements!E51</f>
        <v>3.63</v>
      </c>
      <c r="L50" s="1">
        <f>Microelements!G51</f>
        <v>7.0000000000000007E-2</v>
      </c>
      <c r="M50" s="1">
        <f>Microelements!I51</f>
        <v>7.0000000000000007E-2</v>
      </c>
    </row>
    <row r="51" spans="1:13" x14ac:dyDescent="0.35">
      <c r="A51" s="1">
        <f>'pH &amp; EC'!A51</f>
        <v>50</v>
      </c>
      <c r="B51" s="1">
        <f>'pH &amp; EC'!B51</f>
        <v>6.38</v>
      </c>
      <c r="C51" s="1">
        <f>'pH &amp; EC'!F51</f>
        <v>0.23</v>
      </c>
      <c r="D51" s="1">
        <f>'OC, B, S'!C52</f>
        <v>0.01</v>
      </c>
      <c r="E51" s="1">
        <f>NPK!D52</f>
        <v>209.07</v>
      </c>
      <c r="F51" s="1">
        <f>NPK!G52</f>
        <v>4.87</v>
      </c>
      <c r="G51" s="1">
        <f>NPK!J52</f>
        <v>21.28</v>
      </c>
      <c r="H51" s="1">
        <f>'OC, B, S'!J52</f>
        <v>8.1300000000000008</v>
      </c>
      <c r="I51" s="1">
        <f>Microelements!C52</f>
        <v>1.1299999999999999</v>
      </c>
      <c r="J51" s="1">
        <f>'OC, B, S'!G52</f>
        <v>1.33</v>
      </c>
      <c r="K51" s="1">
        <f>Microelements!E52</f>
        <v>6.75</v>
      </c>
      <c r="L51" s="1">
        <f>Microelements!G52</f>
        <v>16.95</v>
      </c>
      <c r="M51" s="1">
        <f>Microelements!I52</f>
        <v>10.79</v>
      </c>
    </row>
    <row r="52" spans="1:13" x14ac:dyDescent="0.35">
      <c r="A52" s="1">
        <f>'pH &amp; EC'!A52</f>
        <v>51</v>
      </c>
      <c r="B52" s="1">
        <f>'pH &amp; EC'!B52</f>
        <v>6.93</v>
      </c>
      <c r="C52" s="1">
        <f>'pH &amp; EC'!F52</f>
        <v>0.17</v>
      </c>
      <c r="D52" s="1">
        <f>'OC, B, S'!C53</f>
        <v>0.01</v>
      </c>
      <c r="E52" s="1">
        <f>NPK!D53</f>
        <v>229.97</v>
      </c>
      <c r="F52" s="1">
        <f>NPK!G53</f>
        <v>3.5</v>
      </c>
      <c r="G52" s="1">
        <f>NPK!J53</f>
        <v>42.56</v>
      </c>
      <c r="H52" s="1">
        <f>'OC, B, S'!J53</f>
        <v>8.6300000000000008</v>
      </c>
      <c r="I52" s="1">
        <f>Microelements!C53</f>
        <v>2.86</v>
      </c>
      <c r="J52" s="1">
        <f>'OC, B, S'!G53</f>
        <v>2.13</v>
      </c>
      <c r="K52" s="1">
        <f>Microelements!E53</f>
        <v>6.41</v>
      </c>
      <c r="L52" s="1">
        <f>Microelements!G53</f>
        <v>18.760000000000002</v>
      </c>
      <c r="M52" s="1">
        <f>Microelements!I53</f>
        <v>4.1900000000000004</v>
      </c>
    </row>
    <row r="53" spans="1:13" x14ac:dyDescent="0.35">
      <c r="A53" s="1">
        <f>'pH &amp; EC'!A53</f>
        <v>52</v>
      </c>
      <c r="B53" s="1">
        <f>'pH &amp; EC'!B53</f>
        <v>6.9</v>
      </c>
      <c r="C53" s="1">
        <f>'pH &amp; EC'!F53</f>
        <v>0.27</v>
      </c>
      <c r="D53" s="1">
        <f>'OC, B, S'!C54</f>
        <v>0.01</v>
      </c>
      <c r="E53" s="1">
        <f>NPK!D54</f>
        <v>229.97</v>
      </c>
      <c r="F53" s="1">
        <f>NPK!G54</f>
        <v>3.21</v>
      </c>
      <c r="G53" s="1">
        <f>NPK!J54</f>
        <v>24.64</v>
      </c>
      <c r="H53" s="1">
        <f>'OC, B, S'!J54</f>
        <v>9.75</v>
      </c>
      <c r="I53" s="1">
        <f>Microelements!C54</f>
        <v>1.07</v>
      </c>
      <c r="J53" s="1">
        <f>'OC, B, S'!G54</f>
        <v>4.5999999999999996</v>
      </c>
      <c r="K53" s="1">
        <f>Microelements!E54</f>
        <v>6</v>
      </c>
      <c r="L53" s="1">
        <f>Microelements!G54</f>
        <v>17.3</v>
      </c>
      <c r="M53" s="1">
        <f>Microelements!I54</f>
        <v>2.94</v>
      </c>
    </row>
    <row r="54" spans="1:13" x14ac:dyDescent="0.35">
      <c r="A54" s="1">
        <f>'pH &amp; EC'!A54</f>
        <v>53</v>
      </c>
      <c r="B54" s="1">
        <f>'pH &amp; EC'!B54</f>
        <v>6.44</v>
      </c>
      <c r="C54" s="1">
        <f>'pH &amp; EC'!F54</f>
        <v>0.12</v>
      </c>
      <c r="D54" s="1">
        <f>'OC, B, S'!C55</f>
        <v>0.01</v>
      </c>
      <c r="E54" s="1">
        <f>NPK!D55</f>
        <v>209.07</v>
      </c>
      <c r="F54" s="1">
        <f>NPK!G55</f>
        <v>3.21</v>
      </c>
      <c r="G54" s="1">
        <f>NPK!J55</f>
        <v>29.12</v>
      </c>
      <c r="H54" s="1">
        <f>'OC, B, S'!J55</f>
        <v>10.25</v>
      </c>
      <c r="I54" s="1">
        <f>Microelements!C55</f>
        <v>1.97</v>
      </c>
      <c r="J54" s="1">
        <f>'OC, B, S'!G55</f>
        <v>0.05</v>
      </c>
      <c r="K54" s="1">
        <f>Microelements!E55</f>
        <v>5.52</v>
      </c>
      <c r="L54" s="1">
        <f>Microelements!G55</f>
        <v>16.12</v>
      </c>
      <c r="M54" s="1">
        <f>Microelements!I55</f>
        <v>2.62</v>
      </c>
    </row>
    <row r="55" spans="1:13" x14ac:dyDescent="0.35">
      <c r="A55" s="1">
        <f>'pH &amp; EC'!A55</f>
        <v>54</v>
      </c>
      <c r="B55" s="1">
        <f>'pH &amp; EC'!B55</f>
        <v>7.4</v>
      </c>
      <c r="C55" s="1">
        <f>'pH &amp; EC'!F55</f>
        <v>0.12</v>
      </c>
      <c r="D55" s="1">
        <f>'OC, B, S'!C56</f>
        <v>0.04</v>
      </c>
      <c r="E55" s="1">
        <f>NPK!D56</f>
        <v>229.97</v>
      </c>
      <c r="F55" s="1">
        <f>NPK!G56</f>
        <v>1</v>
      </c>
      <c r="G55" s="1">
        <f>NPK!J56</f>
        <v>30.24</v>
      </c>
      <c r="H55" s="1">
        <f>'OC, B, S'!J56</f>
        <v>13</v>
      </c>
      <c r="I55" s="1">
        <f>Microelements!C56</f>
        <v>1.35</v>
      </c>
      <c r="J55" s="1">
        <f>'OC, B, S'!G56</f>
        <v>0.05</v>
      </c>
      <c r="K55" s="1">
        <f>Microelements!E56</f>
        <v>5.3</v>
      </c>
      <c r="L55" s="1">
        <f>Microelements!G56</f>
        <v>17.2</v>
      </c>
      <c r="M55" s="1">
        <f>Microelements!I56</f>
        <v>2.34</v>
      </c>
    </row>
    <row r="56" spans="1:13" x14ac:dyDescent="0.35">
      <c r="A56" s="1">
        <f>'pH &amp; EC'!A56</f>
        <v>55</v>
      </c>
      <c r="B56" s="1">
        <f>'pH &amp; EC'!B56</f>
        <v>7.58</v>
      </c>
      <c r="C56" s="1">
        <f>'pH &amp; EC'!F56</f>
        <v>0.33</v>
      </c>
      <c r="D56" s="1">
        <f>'OC, B, S'!C57</f>
        <v>0.03</v>
      </c>
      <c r="E56" s="1">
        <f>NPK!D57</f>
        <v>209.07</v>
      </c>
      <c r="F56" s="1">
        <f>NPK!G57</f>
        <v>1.79</v>
      </c>
      <c r="G56" s="1">
        <f>NPK!J57</f>
        <v>54.88</v>
      </c>
      <c r="H56" s="1">
        <f>'OC, B, S'!J57</f>
        <v>13.5</v>
      </c>
      <c r="I56" s="1">
        <f>Microelements!C57</f>
        <v>1.69</v>
      </c>
      <c r="J56" s="1">
        <f>'OC, B, S'!G57</f>
        <v>2.5</v>
      </c>
      <c r="K56" s="1">
        <f>Microelements!E57</f>
        <v>6.34</v>
      </c>
      <c r="L56" s="1">
        <f>Microelements!G57</f>
        <v>16.22</v>
      </c>
      <c r="M56" s="1">
        <f>Microelements!I57</f>
        <v>2.75</v>
      </c>
    </row>
    <row r="57" spans="1:13" x14ac:dyDescent="0.35">
      <c r="A57" s="1">
        <f>'pH &amp; EC'!A57</f>
        <v>56</v>
      </c>
      <c r="B57" s="1">
        <f>'pH &amp; EC'!B57</f>
        <v>6.56</v>
      </c>
      <c r="C57" s="1">
        <f>'pH &amp; EC'!F57</f>
        <v>0.12</v>
      </c>
      <c r="D57" s="1">
        <f>'OC, B, S'!C58</f>
        <v>0.02</v>
      </c>
      <c r="E57" s="1">
        <f>NPK!D58</f>
        <v>250.88</v>
      </c>
      <c r="F57" s="1">
        <f>NPK!G58</f>
        <v>0.5</v>
      </c>
      <c r="G57" s="1">
        <f>NPK!J58</f>
        <v>62.72</v>
      </c>
      <c r="H57" s="1">
        <f>'OC, B, S'!J58</f>
        <v>9.25</v>
      </c>
      <c r="I57" s="1">
        <f>Microelements!C58</f>
        <v>1.37</v>
      </c>
      <c r="J57" s="1">
        <f>'OC, B, S'!G58</f>
        <v>0.8</v>
      </c>
      <c r="K57" s="1">
        <f>Microelements!E58</f>
        <v>6.48</v>
      </c>
      <c r="L57" s="1">
        <f>Microelements!G58</f>
        <v>14.73</v>
      </c>
      <c r="M57" s="1">
        <f>Microelements!I58</f>
        <v>2.58</v>
      </c>
    </row>
    <row r="58" spans="1:13" x14ac:dyDescent="0.35">
      <c r="A58" s="1">
        <f>'pH &amp; EC'!A58</f>
        <v>57</v>
      </c>
      <c r="B58" s="1">
        <f>'pH &amp; EC'!B58</f>
        <v>3.22</v>
      </c>
      <c r="C58" s="1">
        <f>'pH &amp; EC'!F58</f>
        <v>0.4</v>
      </c>
      <c r="D58" s="1">
        <f>'OC, B, S'!C59</f>
        <v>0.02</v>
      </c>
      <c r="E58" s="1">
        <f>NPK!D59</f>
        <v>188.16</v>
      </c>
      <c r="F58" s="1">
        <f>NPK!G59</f>
        <v>3.71</v>
      </c>
      <c r="G58" s="1">
        <f>NPK!J59</f>
        <v>68.319999999999993</v>
      </c>
      <c r="H58" s="1">
        <f>'OC, B, S'!J59</f>
        <v>14</v>
      </c>
      <c r="I58" s="1">
        <f>Microelements!C59</f>
        <v>2.91</v>
      </c>
      <c r="J58" s="1">
        <f>'OC, B, S'!G59</f>
        <v>2.68</v>
      </c>
      <c r="K58" s="1">
        <f>Microelements!E59</f>
        <v>5.91</v>
      </c>
      <c r="L58" s="1">
        <f>Microelements!G59</f>
        <v>16.25</v>
      </c>
      <c r="M58" s="1">
        <f>Microelements!I59</f>
        <v>4.63</v>
      </c>
    </row>
    <row r="59" spans="1:13" x14ac:dyDescent="0.35">
      <c r="A59" s="1">
        <f>'pH &amp; EC'!A59</f>
        <v>58</v>
      </c>
      <c r="B59" s="1">
        <f>'pH &amp; EC'!B59</f>
        <v>6.56</v>
      </c>
      <c r="C59" s="1">
        <f>'pH &amp; EC'!F59</f>
        <v>0.16</v>
      </c>
      <c r="D59" s="1">
        <f>'OC, B, S'!C60</f>
        <v>0.02</v>
      </c>
      <c r="E59" s="1">
        <f>NPK!D60</f>
        <v>125.44</v>
      </c>
      <c r="F59" s="1">
        <f>NPK!G60</f>
        <v>3.46</v>
      </c>
      <c r="G59" s="1">
        <f>NPK!J60</f>
        <v>20.16</v>
      </c>
      <c r="H59" s="1">
        <f>'OC, B, S'!J60</f>
        <v>9.75</v>
      </c>
      <c r="I59" s="1">
        <f>Microelements!C60</f>
        <v>1.38</v>
      </c>
      <c r="J59" s="1">
        <f>'OC, B, S'!G60</f>
        <v>1.48</v>
      </c>
      <c r="K59" s="1">
        <f>Microelements!E60</f>
        <v>5.64</v>
      </c>
      <c r="L59" s="1">
        <f>Microelements!G60</f>
        <v>14.93</v>
      </c>
      <c r="M59" s="1">
        <f>Microelements!I60</f>
        <v>2.76</v>
      </c>
    </row>
    <row r="60" spans="1:13" x14ac:dyDescent="0.35">
      <c r="A60" s="1">
        <f>'pH &amp; EC'!A60</f>
        <v>59</v>
      </c>
      <c r="B60" s="1">
        <f>'pH &amp; EC'!B60</f>
        <v>7.02</v>
      </c>
      <c r="C60" s="1">
        <f>'pH &amp; EC'!F60</f>
        <v>0.17</v>
      </c>
      <c r="D60" s="1">
        <f>'OC, B, S'!C61</f>
        <v>0.01</v>
      </c>
      <c r="E60" s="1">
        <f>NPK!D61</f>
        <v>62.72</v>
      </c>
      <c r="F60" s="1">
        <f>NPK!G61</f>
        <v>3.83</v>
      </c>
      <c r="G60" s="1">
        <f>NPK!J61</f>
        <v>76.16</v>
      </c>
      <c r="H60" s="1">
        <f>'OC, B, S'!J61</f>
        <v>13.5</v>
      </c>
      <c r="I60" s="1">
        <f>Microelements!C61</f>
        <v>3.33</v>
      </c>
      <c r="J60" s="1">
        <f>'OC, B, S'!G61</f>
        <v>2.58</v>
      </c>
      <c r="K60" s="1">
        <f>Microelements!E61</f>
        <v>6.62</v>
      </c>
      <c r="L60" s="1">
        <f>Microelements!G61</f>
        <v>16.850000000000001</v>
      </c>
      <c r="M60" s="1">
        <f>Microelements!I61</f>
        <v>9.61</v>
      </c>
    </row>
    <row r="61" spans="1:13" x14ac:dyDescent="0.35">
      <c r="A61" s="1">
        <f>'pH &amp; EC'!A61</f>
        <v>60</v>
      </c>
      <c r="B61" s="1">
        <f>'pH &amp; EC'!B61</f>
        <v>4.3600000000000003</v>
      </c>
      <c r="C61" s="1">
        <f>'pH &amp; EC'!F61</f>
        <v>0.26</v>
      </c>
      <c r="D61" s="1">
        <f>'OC, B, S'!C62</f>
        <v>0.01</v>
      </c>
      <c r="E61" s="1">
        <f>NPK!D62</f>
        <v>83.63</v>
      </c>
      <c r="F61" s="1">
        <f>NPK!G62</f>
        <v>3.21</v>
      </c>
      <c r="G61" s="1">
        <f>NPK!J62</f>
        <v>19.04</v>
      </c>
      <c r="H61" s="1">
        <f>'OC, B, S'!J62</f>
        <v>6</v>
      </c>
      <c r="I61" s="1">
        <f>Microelements!C62</f>
        <v>1.8</v>
      </c>
      <c r="J61" s="1">
        <f>'OC, B, S'!G62</f>
        <v>4.18</v>
      </c>
      <c r="K61" s="1">
        <f>Microelements!E62</f>
        <v>5.86</v>
      </c>
      <c r="L61" s="1">
        <f>Microelements!G62</f>
        <v>14.88</v>
      </c>
      <c r="M61" s="1">
        <f>Microelements!I62</f>
        <v>3.33</v>
      </c>
    </row>
    <row r="62" spans="1:13" x14ac:dyDescent="0.35">
      <c r="A62" s="1">
        <f>'pH &amp; EC'!A62</f>
        <v>61</v>
      </c>
      <c r="B62" s="1">
        <f>'pH &amp; EC'!B62</f>
        <v>7.02</v>
      </c>
      <c r="C62" s="1">
        <f>'pH &amp; EC'!F62</f>
        <v>0.14000000000000001</v>
      </c>
      <c r="D62" s="1">
        <f>'OC, B, S'!C63</f>
        <v>0.01</v>
      </c>
      <c r="E62" s="1">
        <f>NPK!D63</f>
        <v>250.88</v>
      </c>
      <c r="F62" s="1">
        <f>NPK!G63</f>
        <v>3.62</v>
      </c>
      <c r="G62" s="1">
        <f>NPK!J63</f>
        <v>76.16</v>
      </c>
      <c r="H62" s="1">
        <f>'OC, B, S'!J63</f>
        <v>13</v>
      </c>
      <c r="I62" s="1">
        <f>Microelements!C63</f>
        <v>1.75</v>
      </c>
      <c r="J62" s="1">
        <f>'OC, B, S'!G63</f>
        <v>3.53</v>
      </c>
      <c r="K62" s="1">
        <f>Microelements!E63</f>
        <v>6.14</v>
      </c>
      <c r="L62" s="1">
        <f>Microelements!G63</f>
        <v>22.04</v>
      </c>
      <c r="M62" s="1">
        <f>Microelements!I63</f>
        <v>2.4700000000000002</v>
      </c>
    </row>
    <row r="63" spans="1:13" x14ac:dyDescent="0.35">
      <c r="A63" s="1">
        <f>'pH &amp; EC'!A63</f>
        <v>62</v>
      </c>
      <c r="B63" s="1">
        <f>'pH &amp; EC'!B63</f>
        <v>3.92</v>
      </c>
      <c r="C63" s="1">
        <f>'pH &amp; EC'!F63</f>
        <v>0.36</v>
      </c>
      <c r="D63" s="1">
        <f>'OC, B, S'!C64</f>
        <v>0.01</v>
      </c>
      <c r="E63" s="1">
        <f>NPK!D64</f>
        <v>250.88</v>
      </c>
      <c r="F63" s="1">
        <f>NPK!G64</f>
        <v>3.33</v>
      </c>
      <c r="G63" s="1">
        <f>NPK!J64</f>
        <v>43.68</v>
      </c>
      <c r="H63" s="1">
        <f>'OC, B, S'!J64</f>
        <v>9.75</v>
      </c>
      <c r="I63" s="1">
        <f>Microelements!C64</f>
        <v>1.4</v>
      </c>
      <c r="J63" s="1">
        <f>'OC, B, S'!G64</f>
        <v>3.88</v>
      </c>
      <c r="K63" s="1">
        <f>Microelements!E64</f>
        <v>7.04</v>
      </c>
      <c r="L63" s="1">
        <f>Microelements!G64</f>
        <v>22.62</v>
      </c>
      <c r="M63" s="1">
        <f>Microelements!I64</f>
        <v>2.82</v>
      </c>
    </row>
    <row r="64" spans="1:13" x14ac:dyDescent="0.35">
      <c r="A64" s="1">
        <f>'pH &amp; EC'!A64</f>
        <v>63</v>
      </c>
      <c r="B64" s="1">
        <f>'pH &amp; EC'!B64</f>
        <v>7.55</v>
      </c>
      <c r="C64" s="1">
        <f>'pH &amp; EC'!F64</f>
        <v>0.12</v>
      </c>
      <c r="D64" s="1">
        <f>'OC, B, S'!C65</f>
        <v>0.01</v>
      </c>
      <c r="E64" s="1">
        <f>NPK!D65</f>
        <v>209.07</v>
      </c>
      <c r="F64" s="1">
        <f>NPK!G65</f>
        <v>0.57999999999999996</v>
      </c>
      <c r="G64" s="1">
        <f>NPK!J65</f>
        <v>53.76</v>
      </c>
      <c r="H64" s="1">
        <f>'OC, B, S'!J65</f>
        <v>10.25</v>
      </c>
      <c r="I64" s="1">
        <f>Microelements!C65</f>
        <v>1.27</v>
      </c>
      <c r="J64" s="1">
        <f>'OC, B, S'!G65</f>
        <v>1.38</v>
      </c>
      <c r="K64" s="1">
        <f>Microelements!E65</f>
        <v>5.19</v>
      </c>
      <c r="L64" s="1">
        <f>Microelements!G65</f>
        <v>19.579999999999998</v>
      </c>
      <c r="M64" s="1">
        <f>Microelements!I65</f>
        <v>1.96</v>
      </c>
    </row>
    <row r="65" spans="1:13" x14ac:dyDescent="0.35">
      <c r="A65" s="1">
        <f>'pH &amp; EC'!A65</f>
        <v>64</v>
      </c>
      <c r="B65" s="1">
        <f>'pH &amp; EC'!B65</f>
        <v>7.06</v>
      </c>
      <c r="C65" s="1">
        <f>'pH &amp; EC'!F65</f>
        <v>0.25</v>
      </c>
      <c r="D65" s="1">
        <f>'OC, B, S'!C66</f>
        <v>0.01</v>
      </c>
      <c r="E65" s="1">
        <f>NPK!D66</f>
        <v>209.07</v>
      </c>
      <c r="F65" s="1">
        <f>NPK!G66</f>
        <v>3.5</v>
      </c>
      <c r="G65" s="1">
        <f>NPK!J66</f>
        <v>63.84</v>
      </c>
      <c r="H65" s="1">
        <f>'OC, B, S'!J66</f>
        <v>9.75</v>
      </c>
      <c r="I65" s="1">
        <f>Microelements!C66</f>
        <v>1.03</v>
      </c>
      <c r="J65" s="1">
        <f>'OC, B, S'!G66</f>
        <v>4.2300000000000004</v>
      </c>
      <c r="K65" s="1">
        <f>Microelements!E66</f>
        <v>5.22</v>
      </c>
      <c r="L65" s="1">
        <f>Microelements!G66</f>
        <v>19.39</v>
      </c>
      <c r="M65" s="1">
        <f>Microelements!I66</f>
        <v>1.89</v>
      </c>
    </row>
    <row r="66" spans="1:13" x14ac:dyDescent="0.35">
      <c r="A66" s="1">
        <f>'pH &amp; EC'!A66</f>
        <v>65</v>
      </c>
      <c r="B66" s="1">
        <f>'pH &amp; EC'!B66</f>
        <v>6.81</v>
      </c>
      <c r="C66" s="1">
        <f>'pH &amp; EC'!F66</f>
        <v>0.52</v>
      </c>
      <c r="D66" s="1">
        <f>'OC, B, S'!C67</f>
        <v>0.01</v>
      </c>
      <c r="E66" s="1">
        <f>NPK!D67</f>
        <v>209.07</v>
      </c>
      <c r="F66" s="1">
        <f>NPK!G67</f>
        <v>3.75</v>
      </c>
      <c r="G66" s="1">
        <f>NPK!J67</f>
        <v>69.44</v>
      </c>
      <c r="H66" s="1">
        <f>'OC, B, S'!J67</f>
        <v>9.75</v>
      </c>
      <c r="I66" s="1">
        <f>Microelements!C67</f>
        <v>1.6</v>
      </c>
      <c r="J66" s="1">
        <f>'OC, B, S'!G67</f>
        <v>2.48</v>
      </c>
      <c r="K66" s="1">
        <f>Microelements!E67</f>
        <v>4.82</v>
      </c>
      <c r="L66" s="1">
        <f>Microelements!G67</f>
        <v>19.79</v>
      </c>
      <c r="M66" s="1">
        <f>Microelements!I67</f>
        <v>2.4900000000000002</v>
      </c>
    </row>
    <row r="67" spans="1:13" x14ac:dyDescent="0.35">
      <c r="A67" s="1">
        <f>'pH &amp; EC'!A67</f>
        <v>66</v>
      </c>
      <c r="B67" s="1">
        <f>'pH &amp; EC'!B67</f>
        <v>6.69</v>
      </c>
      <c r="C67" s="1">
        <f>'pH &amp; EC'!F67</f>
        <v>0.27</v>
      </c>
      <c r="D67" s="1">
        <f>'OC, B, S'!C68</f>
        <v>0.08</v>
      </c>
      <c r="E67" s="1">
        <f>NPK!D68</f>
        <v>209.07</v>
      </c>
      <c r="F67" s="1">
        <f>NPK!G68</f>
        <v>3.41</v>
      </c>
      <c r="G67" s="1">
        <f>NPK!J68</f>
        <v>16.8</v>
      </c>
      <c r="H67" s="1">
        <f>'OC, B, S'!J68</f>
        <v>8.6300000000000008</v>
      </c>
      <c r="I67" s="1">
        <f>Microelements!C68</f>
        <v>1.19</v>
      </c>
      <c r="J67" s="1">
        <f>'OC, B, S'!G68</f>
        <v>1.68</v>
      </c>
      <c r="K67" s="1">
        <f>Microelements!E68</f>
        <v>4.59</v>
      </c>
      <c r="L67" s="1">
        <f>Microelements!G68</f>
        <v>18.829999999999998</v>
      </c>
      <c r="M67" s="1">
        <f>Microelements!I68</f>
        <v>2.13</v>
      </c>
    </row>
    <row r="68" spans="1:13" x14ac:dyDescent="0.35">
      <c r="A68" s="1">
        <f>'pH &amp; EC'!A68</f>
        <v>67</v>
      </c>
      <c r="B68" s="1">
        <f>'pH &amp; EC'!B68</f>
        <v>6.48</v>
      </c>
      <c r="C68" s="1">
        <f>'pH &amp; EC'!F68</f>
        <v>0.36</v>
      </c>
      <c r="D68" s="1">
        <f>'OC, B, S'!C69</f>
        <v>0.02</v>
      </c>
      <c r="E68" s="1">
        <f>NPK!D69</f>
        <v>209.07</v>
      </c>
      <c r="F68" s="1">
        <f>NPK!G69</f>
        <v>3.66</v>
      </c>
      <c r="G68" s="1">
        <f>NPK!J69</f>
        <v>28</v>
      </c>
      <c r="H68" s="1">
        <f>'OC, B, S'!J69</f>
        <v>8.6300000000000008</v>
      </c>
      <c r="I68" s="1">
        <f>Microelements!C69</f>
        <v>1.06</v>
      </c>
      <c r="J68" s="1">
        <f>'OC, B, S'!G69</f>
        <v>2.4</v>
      </c>
      <c r="K68" s="1">
        <f>Microelements!E69</f>
        <v>8.3000000000000007</v>
      </c>
      <c r="L68" s="1">
        <f>Microelements!G69</f>
        <v>20.97</v>
      </c>
      <c r="M68" s="1">
        <f>Microelements!I69</f>
        <v>2.52</v>
      </c>
    </row>
    <row r="69" spans="1:13" x14ac:dyDescent="0.35">
      <c r="A69" s="1">
        <f>'pH &amp; EC'!A69</f>
        <v>68</v>
      </c>
      <c r="B69" s="1">
        <f>'pH &amp; EC'!B69</f>
        <v>6.71</v>
      </c>
      <c r="C69" s="1">
        <f>'pH &amp; EC'!F69</f>
        <v>0.28000000000000003</v>
      </c>
      <c r="D69" s="1">
        <f>'OC, B, S'!C70</f>
        <v>0.02</v>
      </c>
      <c r="E69" s="1">
        <f>NPK!D70</f>
        <v>62.72</v>
      </c>
      <c r="F69" s="1">
        <f>NPK!G70</f>
        <v>3.75</v>
      </c>
      <c r="G69" s="1">
        <f>NPK!J70</f>
        <v>32.479999999999997</v>
      </c>
      <c r="H69" s="1">
        <f>'OC, B, S'!J70</f>
        <v>8.6300000000000008</v>
      </c>
      <c r="I69" s="1">
        <f>Microelements!C70</f>
        <v>2.13</v>
      </c>
      <c r="J69" s="1">
        <f>'OC, B, S'!G70</f>
        <v>2.35</v>
      </c>
      <c r="K69" s="1">
        <f>Microelements!E70</f>
        <v>5.03</v>
      </c>
      <c r="L69" s="1">
        <f>Microelements!G70</f>
        <v>19.87</v>
      </c>
      <c r="M69" s="1">
        <f>Microelements!I70</f>
        <v>3.14</v>
      </c>
    </row>
    <row r="70" spans="1:13" x14ac:dyDescent="0.35">
      <c r="A70" s="1">
        <f>'pH &amp; EC'!A70</f>
        <v>69</v>
      </c>
      <c r="B70" s="1">
        <f>'pH &amp; EC'!B70</f>
        <v>8.4600000000000009</v>
      </c>
      <c r="C70" s="1">
        <f>'pH &amp; EC'!F70</f>
        <v>0.11</v>
      </c>
      <c r="D70" s="1">
        <f>'OC, B, S'!C71</f>
        <v>0.01</v>
      </c>
      <c r="E70" s="1">
        <f>NPK!D71</f>
        <v>209.07</v>
      </c>
      <c r="F70" s="1">
        <f>NPK!G71</f>
        <v>3.75</v>
      </c>
      <c r="G70" s="1">
        <f>NPK!J71</f>
        <v>40.32</v>
      </c>
      <c r="H70" s="1">
        <f>'OC, B, S'!J71</f>
        <v>8.6300000000000008</v>
      </c>
      <c r="I70" s="1">
        <f>Microelements!C71</f>
        <v>1.52</v>
      </c>
      <c r="J70" s="1">
        <f>'OC, B, S'!G71</f>
        <v>1.4</v>
      </c>
      <c r="K70" s="1">
        <f>Microelements!E71</f>
        <v>5.9</v>
      </c>
      <c r="L70" s="1">
        <f>Microelements!G71</f>
        <v>21.37</v>
      </c>
      <c r="M70" s="1">
        <f>Microelements!I71</f>
        <v>4.75</v>
      </c>
    </row>
    <row r="71" spans="1:13" x14ac:dyDescent="0.35">
      <c r="A71" s="1">
        <f>'pH &amp; EC'!A71</f>
        <v>70</v>
      </c>
      <c r="B71" s="1">
        <f>'pH &amp; EC'!B71</f>
        <v>6.99</v>
      </c>
      <c r="C71" s="1">
        <f>'pH &amp; EC'!F71</f>
        <v>0.25</v>
      </c>
      <c r="D71" s="1">
        <f>'OC, B, S'!C72</f>
        <v>0.01</v>
      </c>
      <c r="E71" s="1">
        <f>NPK!D72</f>
        <v>188.16</v>
      </c>
      <c r="F71" s="1">
        <f>NPK!G72</f>
        <v>3.17</v>
      </c>
      <c r="G71" s="1">
        <f>NPK!J72</f>
        <v>45.92</v>
      </c>
      <c r="H71" s="1">
        <f>'OC, B, S'!J72</f>
        <v>9.25</v>
      </c>
      <c r="I71" s="1">
        <f>Microelements!C72</f>
        <v>1.75</v>
      </c>
      <c r="J71" s="1">
        <f>'OC, B, S'!G72</f>
        <v>3.73</v>
      </c>
      <c r="K71" s="1">
        <f>Microelements!E72</f>
        <v>6.38</v>
      </c>
      <c r="L71" s="1">
        <f>Microelements!G72</f>
        <v>22.19</v>
      </c>
      <c r="M71" s="1">
        <f>Microelements!I72</f>
        <v>3.19</v>
      </c>
    </row>
    <row r="72" spans="1:13" x14ac:dyDescent="0.35">
      <c r="A72" s="1">
        <f>'pH &amp; EC'!A72</f>
        <v>71</v>
      </c>
      <c r="B72" s="1">
        <f>'pH &amp; EC'!B72</f>
        <v>6.9</v>
      </c>
      <c r="C72" s="1">
        <f>'pH &amp; EC'!F72</f>
        <v>0.26</v>
      </c>
      <c r="D72" s="1">
        <f>'OC, B, S'!C73</f>
        <v>0.01</v>
      </c>
      <c r="E72" s="1">
        <f>NPK!D73</f>
        <v>209.07</v>
      </c>
      <c r="F72" s="1">
        <f>NPK!G73</f>
        <v>3.33</v>
      </c>
      <c r="G72" s="1">
        <f>NPK!J73</f>
        <v>36.96</v>
      </c>
      <c r="H72" s="1">
        <f>'OC, B, S'!J73</f>
        <v>10.25</v>
      </c>
      <c r="I72" s="1">
        <f>Microelements!C73</f>
        <v>0.82</v>
      </c>
      <c r="J72" s="1">
        <f>'OC, B, S'!G73</f>
        <v>1.73</v>
      </c>
      <c r="K72" s="1">
        <f>Microelements!E73</f>
        <v>10.11</v>
      </c>
      <c r="L72" s="1">
        <f>Microelements!G73</f>
        <v>21.45</v>
      </c>
      <c r="M72" s="1">
        <f>Microelements!I73</f>
        <v>3.8</v>
      </c>
    </row>
    <row r="73" spans="1:13" x14ac:dyDescent="0.35">
      <c r="A73" s="1">
        <f>'pH &amp; EC'!A73</f>
        <v>72</v>
      </c>
      <c r="B73" s="1">
        <f>'pH &amp; EC'!B73</f>
        <v>7.26</v>
      </c>
      <c r="C73" s="1">
        <f>'pH &amp; EC'!F73</f>
        <v>0.14000000000000001</v>
      </c>
      <c r="D73" s="1">
        <f>'OC, B, S'!C74</f>
        <v>0.05</v>
      </c>
      <c r="E73" s="1">
        <f>NPK!D74</f>
        <v>209.07</v>
      </c>
      <c r="F73" s="1">
        <f>NPK!G74</f>
        <v>1.21</v>
      </c>
      <c r="G73" s="1">
        <f>NPK!J74</f>
        <v>49.28</v>
      </c>
      <c r="H73" s="1">
        <f>'OC, B, S'!J74</f>
        <v>13</v>
      </c>
      <c r="I73" s="1">
        <f>Microelements!C74</f>
        <v>1.68</v>
      </c>
      <c r="J73" s="1">
        <f>'OC, B, S'!G74</f>
        <v>1.43</v>
      </c>
      <c r="K73" s="1">
        <f>Microelements!E74</f>
        <v>5.78</v>
      </c>
      <c r="L73" s="1">
        <f>Microelements!G74</f>
        <v>19.63</v>
      </c>
      <c r="M73" s="1">
        <f>Microelements!I74</f>
        <v>2.44</v>
      </c>
    </row>
    <row r="74" spans="1:13" x14ac:dyDescent="0.35">
      <c r="A74" s="1">
        <f>'pH &amp; EC'!A74</f>
        <v>73</v>
      </c>
      <c r="B74" s="1">
        <f>'pH &amp; EC'!B74</f>
        <v>7.81</v>
      </c>
      <c r="C74" s="1">
        <f>'pH &amp; EC'!F74</f>
        <v>0.12</v>
      </c>
      <c r="D74" s="1">
        <f>'OC, B, S'!C75</f>
        <v>0.02</v>
      </c>
      <c r="E74" s="1">
        <f>NPK!D75</f>
        <v>209.07</v>
      </c>
      <c r="F74" s="1">
        <f>NPK!G75</f>
        <v>1.87</v>
      </c>
      <c r="G74" s="1">
        <f>NPK!J75</f>
        <v>64.959999999999994</v>
      </c>
      <c r="H74" s="1">
        <f>'OC, B, S'!J75</f>
        <v>11.88</v>
      </c>
      <c r="I74" s="1">
        <f>Microelements!C75</f>
        <v>0.78</v>
      </c>
      <c r="J74" s="1">
        <f>'OC, B, S'!G75</f>
        <v>0.75</v>
      </c>
      <c r="K74" s="1">
        <f>Microelements!E75</f>
        <v>4.05</v>
      </c>
      <c r="L74" s="1">
        <f>Microelements!G75</f>
        <v>12.85</v>
      </c>
      <c r="M74" s="1">
        <f>Microelements!I75</f>
        <v>1.93</v>
      </c>
    </row>
    <row r="75" spans="1:13" x14ac:dyDescent="0.35">
      <c r="A75" s="1">
        <f>'pH &amp; EC'!A75</f>
        <v>74</v>
      </c>
      <c r="B75" s="1">
        <f>'pH &amp; EC'!B75</f>
        <v>6.81</v>
      </c>
      <c r="C75" s="1">
        <f>'pH &amp; EC'!F75</f>
        <v>0.34</v>
      </c>
      <c r="D75" s="1">
        <f>'OC, B, S'!C76</f>
        <v>0.01</v>
      </c>
      <c r="E75" s="1">
        <f>NPK!D76</f>
        <v>209.07</v>
      </c>
      <c r="F75" s="1">
        <f>NPK!G76</f>
        <v>3.5</v>
      </c>
      <c r="G75" s="1">
        <f>NPK!J76</f>
        <v>32.479999999999997</v>
      </c>
      <c r="H75" s="1">
        <f>'OC, B, S'!J76</f>
        <v>11.38</v>
      </c>
      <c r="I75" s="1">
        <f>Microelements!C76</f>
        <v>2.19</v>
      </c>
      <c r="J75" s="1">
        <f>'OC, B, S'!G76</f>
        <v>2.2799999999999998</v>
      </c>
      <c r="K75" s="1">
        <f>Microelements!E76</f>
        <v>6.97</v>
      </c>
      <c r="L75" s="1">
        <f>Microelements!G76</f>
        <v>21.13</v>
      </c>
      <c r="M75" s="1">
        <f>Microelements!I76</f>
        <v>8.1300000000000008</v>
      </c>
    </row>
    <row r="76" spans="1:13" x14ac:dyDescent="0.35">
      <c r="A76" s="1">
        <f>'pH &amp; EC'!A76</f>
        <v>75</v>
      </c>
      <c r="B76" s="1">
        <f>'pH &amp; EC'!B76</f>
        <v>6.51</v>
      </c>
      <c r="C76" s="1">
        <f>'pH &amp; EC'!F76</f>
        <v>0.21</v>
      </c>
      <c r="D76" s="1">
        <f>'OC, B, S'!C77</f>
        <v>0.01</v>
      </c>
      <c r="E76" s="1">
        <f>NPK!D77</f>
        <v>209.07</v>
      </c>
      <c r="F76" s="1">
        <f>NPK!G77</f>
        <v>4.08</v>
      </c>
      <c r="G76" s="1">
        <f>NPK!J77</f>
        <v>40.32</v>
      </c>
      <c r="H76" s="1">
        <f>'OC, B, S'!J77</f>
        <v>4.38</v>
      </c>
      <c r="I76" s="1">
        <f>Microelements!C77</f>
        <v>1.44</v>
      </c>
      <c r="J76" s="1">
        <f>'OC, B, S'!G77</f>
        <v>2.4500000000000002</v>
      </c>
      <c r="K76" s="1">
        <f>Microelements!E77</f>
        <v>5.4</v>
      </c>
      <c r="L76" s="1">
        <f>Microelements!G77</f>
        <v>20.39</v>
      </c>
      <c r="M76" s="1">
        <f>Microelements!I77</f>
        <v>2.58</v>
      </c>
    </row>
    <row r="77" spans="1:13" x14ac:dyDescent="0.35">
      <c r="A77" s="1">
        <f>'pH &amp; EC'!A77</f>
        <v>76</v>
      </c>
      <c r="B77" s="1">
        <f>'pH &amp; EC'!B77</f>
        <v>6.61</v>
      </c>
      <c r="C77" s="1">
        <f>'pH &amp; EC'!F77</f>
        <v>0.16</v>
      </c>
      <c r="D77" s="1">
        <f>'OC, B, S'!C78</f>
        <v>0.02</v>
      </c>
      <c r="E77" s="1">
        <f>NPK!D78</f>
        <v>209.07</v>
      </c>
      <c r="F77" s="1">
        <f>NPK!G78</f>
        <v>3.58</v>
      </c>
      <c r="G77" s="1">
        <f>NPK!J78</f>
        <v>22.4</v>
      </c>
      <c r="H77" s="1">
        <f>'OC, B, S'!J78</f>
        <v>8.1300000000000008</v>
      </c>
      <c r="I77" s="1">
        <f>Microelements!C78</f>
        <v>1.2</v>
      </c>
      <c r="J77" s="1">
        <f>'OC, B, S'!G78</f>
        <v>1.33</v>
      </c>
      <c r="K77" s="1">
        <f>Microelements!E78</f>
        <v>6.88</v>
      </c>
      <c r="L77" s="1">
        <f>Microelements!G78</f>
        <v>19.48</v>
      </c>
      <c r="M77" s="1">
        <f>Microelements!I78</f>
        <v>2.15</v>
      </c>
    </row>
    <row r="78" spans="1:13" x14ac:dyDescent="0.35">
      <c r="A78" s="1">
        <f>'pH &amp; EC'!A78</f>
        <v>77</v>
      </c>
      <c r="B78" s="1">
        <f>'pH &amp; EC'!B78</f>
        <v>5.23</v>
      </c>
      <c r="C78" s="1">
        <f>'pH &amp; EC'!F78</f>
        <v>1.44</v>
      </c>
      <c r="D78" s="1">
        <f>'OC, B, S'!C79</f>
        <v>0.02</v>
      </c>
      <c r="E78" s="1">
        <f>NPK!D79</f>
        <v>209.07</v>
      </c>
      <c r="F78" s="1">
        <f>NPK!G79</f>
        <v>3.46</v>
      </c>
      <c r="G78" s="1">
        <f>NPK!J79</f>
        <v>26.88</v>
      </c>
      <c r="H78" s="1">
        <f>'OC, B, S'!J79</f>
        <v>6.5</v>
      </c>
      <c r="I78" s="1">
        <f>Microelements!C79</f>
        <v>1.59</v>
      </c>
      <c r="J78" s="1">
        <f>'OC, B, S'!G79</f>
        <v>2.6</v>
      </c>
      <c r="K78" s="1">
        <f>Microelements!E79</f>
        <v>6.75</v>
      </c>
      <c r="L78" s="1">
        <f>Microelements!G79</f>
        <v>20.420000000000002</v>
      </c>
      <c r="M78" s="1">
        <f>Microelements!I79</f>
        <v>2.64</v>
      </c>
    </row>
    <row r="79" spans="1:13" x14ac:dyDescent="0.35">
      <c r="A79" s="1">
        <f>'pH &amp; EC'!A79</f>
        <v>78</v>
      </c>
      <c r="B79" s="1">
        <f>'pH &amp; EC'!B79</f>
        <v>6.53</v>
      </c>
      <c r="C79" s="1">
        <f>'pH &amp; EC'!F79</f>
        <v>0.22</v>
      </c>
      <c r="D79" s="1">
        <f>'OC, B, S'!C80</f>
        <v>0.05</v>
      </c>
      <c r="E79" s="1">
        <f>NPK!D80</f>
        <v>209.07</v>
      </c>
      <c r="F79" s="1">
        <f>NPK!G80</f>
        <v>3.12</v>
      </c>
      <c r="G79" s="1">
        <f>NPK!J80</f>
        <v>41.44</v>
      </c>
      <c r="H79" s="1">
        <f>'OC, B, S'!J80</f>
        <v>7.63</v>
      </c>
      <c r="I79" s="1">
        <f>Microelements!C80</f>
        <v>1.26</v>
      </c>
      <c r="J79" s="1">
        <f>'OC, B, S'!G80</f>
        <v>1.33</v>
      </c>
      <c r="K79" s="1">
        <f>Microelements!E80</f>
        <v>4.9800000000000004</v>
      </c>
      <c r="L79" s="1">
        <f>Microelements!G80</f>
        <v>19.09</v>
      </c>
      <c r="M79" s="1">
        <f>Microelements!I80</f>
        <v>2.61</v>
      </c>
    </row>
    <row r="80" spans="1:13" x14ac:dyDescent="0.35">
      <c r="A80" s="1">
        <f>'pH &amp; EC'!A80</f>
        <v>79</v>
      </c>
      <c r="B80" s="1">
        <f>'pH &amp; EC'!B80</f>
        <v>5.44</v>
      </c>
      <c r="C80" s="1">
        <f>'pH &amp; EC'!F80</f>
        <v>0.3</v>
      </c>
      <c r="D80" s="1">
        <f>'OC, B, S'!C81</f>
        <v>6.9999999999999993E-2</v>
      </c>
      <c r="E80" s="1">
        <f>NPK!D81</f>
        <v>209.07</v>
      </c>
      <c r="F80" s="1">
        <f>NPK!G81</f>
        <v>0.46</v>
      </c>
      <c r="G80" s="1">
        <f>NPK!J81</f>
        <v>20.16</v>
      </c>
      <c r="H80" s="1">
        <f>'OC, B, S'!J81</f>
        <v>10.25</v>
      </c>
      <c r="I80" s="1">
        <f>Microelements!C81</f>
        <v>1.44</v>
      </c>
      <c r="J80" s="1">
        <f>'OC, B, S'!G81</f>
        <v>1.43</v>
      </c>
      <c r="K80" s="1">
        <f>Microelements!E81</f>
        <v>5.05</v>
      </c>
      <c r="L80" s="1">
        <f>Microelements!G81</f>
        <v>18.739999999999998</v>
      </c>
      <c r="M80" s="1">
        <f>Microelements!I81</f>
        <v>2.0099999999999998</v>
      </c>
    </row>
    <row r="81" spans="1:13" x14ac:dyDescent="0.35">
      <c r="A81" s="1">
        <f>'pH &amp; EC'!A81</f>
        <v>80</v>
      </c>
      <c r="B81" s="1">
        <f>'pH &amp; EC'!B81</f>
        <v>5.72</v>
      </c>
      <c r="C81" s="1">
        <f>'pH &amp; EC'!F81</f>
        <v>0.64</v>
      </c>
      <c r="D81" s="1">
        <f>'OC, B, S'!C82</f>
        <v>0.02</v>
      </c>
      <c r="E81" s="1">
        <f>NPK!D82</f>
        <v>209.07</v>
      </c>
      <c r="F81" s="1">
        <f>NPK!G82</f>
        <v>3.58</v>
      </c>
      <c r="G81" s="1">
        <f>NPK!J82</f>
        <v>39.200000000000003</v>
      </c>
      <c r="H81" s="1">
        <f>'OC, B, S'!J82</f>
        <v>12.38</v>
      </c>
      <c r="I81" s="1">
        <f>Microelements!C82</f>
        <v>1.56</v>
      </c>
      <c r="J81" s="1">
        <f>'OC, B, S'!G82</f>
        <v>2.65</v>
      </c>
      <c r="K81" s="1">
        <f>Microelements!E82</f>
        <v>5.0999999999999996</v>
      </c>
      <c r="L81" s="1">
        <f>Microelements!G82</f>
        <v>21.13</v>
      </c>
      <c r="M81" s="1">
        <f>Microelements!I82</f>
        <v>3.92</v>
      </c>
    </row>
    <row r="82" spans="1:13" x14ac:dyDescent="0.35">
      <c r="A82" s="1">
        <f>'pH &amp; EC'!A82</f>
        <v>81</v>
      </c>
      <c r="B82" s="1">
        <f>'pH &amp; EC'!B82</f>
        <v>6.43</v>
      </c>
      <c r="C82" s="1">
        <f>'pH &amp; EC'!F82</f>
        <v>0.11</v>
      </c>
      <c r="D82" s="1">
        <f>'OC, B, S'!C83</f>
        <v>0.01</v>
      </c>
      <c r="E82" s="1">
        <f>NPK!D83</f>
        <v>209.07</v>
      </c>
      <c r="F82" s="1">
        <f>NPK!G83</f>
        <v>0.12</v>
      </c>
      <c r="G82" s="1">
        <f>NPK!J83</f>
        <v>29.12</v>
      </c>
      <c r="H82" s="1">
        <f>'OC, B, S'!J83</f>
        <v>13</v>
      </c>
      <c r="I82" s="1">
        <f>Microelements!C83</f>
        <v>1.05</v>
      </c>
      <c r="J82" s="1">
        <f>'OC, B, S'!G83</f>
        <v>3</v>
      </c>
      <c r="K82" s="1">
        <f>Microelements!E83</f>
        <v>8.61</v>
      </c>
      <c r="L82" s="1">
        <f>Microelements!G83</f>
        <v>21.73</v>
      </c>
      <c r="M82" s="1">
        <f>Microelements!I83</f>
        <v>2.96</v>
      </c>
    </row>
    <row r="83" spans="1:13" x14ac:dyDescent="0.35">
      <c r="A83" s="1">
        <f>'pH &amp; EC'!A83</f>
        <v>82</v>
      </c>
      <c r="B83" s="1">
        <f>'pH &amp; EC'!B83</f>
        <v>5.67</v>
      </c>
      <c r="C83" s="1">
        <f>'pH &amp; EC'!F83</f>
        <v>0.28000000000000003</v>
      </c>
      <c r="D83" s="1">
        <f>'OC, B, S'!C84</f>
        <v>0.03</v>
      </c>
      <c r="E83" s="1">
        <f>NPK!D84</f>
        <v>209.07</v>
      </c>
      <c r="F83" s="1">
        <f>NPK!G84</f>
        <v>3.54</v>
      </c>
      <c r="G83" s="1">
        <f>NPK!J84</f>
        <v>30.24</v>
      </c>
      <c r="H83" s="1">
        <f>'OC, B, S'!J84</f>
        <v>4.88</v>
      </c>
      <c r="I83" s="1">
        <f>Microelements!C84</f>
        <v>1.57</v>
      </c>
      <c r="J83" s="1">
        <f>'OC, B, S'!G84</f>
        <v>2.35</v>
      </c>
      <c r="K83" s="1">
        <f>Microelements!E84</f>
        <v>8.3800000000000008</v>
      </c>
      <c r="L83" s="1">
        <f>Microelements!G84</f>
        <v>23.82</v>
      </c>
      <c r="M83" s="1">
        <f>Microelements!I84</f>
        <v>2.92</v>
      </c>
    </row>
    <row r="84" spans="1:13" x14ac:dyDescent="0.35">
      <c r="A84" s="1">
        <f>'pH &amp; EC'!A84</f>
        <v>83</v>
      </c>
      <c r="B84" s="1">
        <f>'pH &amp; EC'!B84</f>
        <v>6.65</v>
      </c>
      <c r="C84" s="1">
        <f>'pH &amp; EC'!F84</f>
        <v>0.11</v>
      </c>
      <c r="D84" s="1">
        <f>'OC, B, S'!C85</f>
        <v>0.03</v>
      </c>
      <c r="E84" s="1">
        <f>NPK!D85</f>
        <v>209.07</v>
      </c>
      <c r="F84" s="1">
        <f>NPK!G85</f>
        <v>0.67</v>
      </c>
      <c r="G84" s="1">
        <f>NPK!J85</f>
        <v>47.04</v>
      </c>
      <c r="H84" s="1">
        <f>'OC, B, S'!J85</f>
        <v>5.38</v>
      </c>
      <c r="I84" s="1">
        <f>Microelements!C85</f>
        <v>1.36</v>
      </c>
      <c r="J84" s="1">
        <f>'OC, B, S'!G85</f>
        <v>1.03</v>
      </c>
      <c r="K84" s="1">
        <f>Microelements!E85</f>
        <v>4.8099999999999996</v>
      </c>
      <c r="L84" s="1">
        <f>Microelements!G85</f>
        <v>19.07</v>
      </c>
      <c r="M84" s="1">
        <f>Microelements!I85</f>
        <v>2.14</v>
      </c>
    </row>
    <row r="85" spans="1:13" x14ac:dyDescent="0.35">
      <c r="A85" s="1">
        <f>'pH &amp; EC'!A85</f>
        <v>84</v>
      </c>
      <c r="B85" s="1">
        <f>'pH &amp; EC'!B85</f>
        <v>6.93</v>
      </c>
      <c r="C85" s="1">
        <f>'pH &amp; EC'!F85</f>
        <v>0.47</v>
      </c>
      <c r="D85" s="1">
        <f>'OC, B, S'!C86</f>
        <v>0.05</v>
      </c>
      <c r="E85" s="1">
        <f>NPK!D86</f>
        <v>229.97</v>
      </c>
      <c r="F85" s="1">
        <f>NPK!G86</f>
        <v>3.62</v>
      </c>
      <c r="G85" s="1">
        <f>NPK!J86</f>
        <v>51.52</v>
      </c>
      <c r="H85" s="1">
        <f>'OC, B, S'!J86</f>
        <v>6</v>
      </c>
      <c r="I85" s="1">
        <f>Microelements!C86</f>
        <v>1.2</v>
      </c>
      <c r="J85" s="1">
        <f>'OC, B, S'!G86</f>
        <v>2.48</v>
      </c>
      <c r="K85" s="1">
        <f>Microelements!E86</f>
        <v>6.56</v>
      </c>
      <c r="L85" s="1">
        <f>Microelements!G86</f>
        <v>20.68</v>
      </c>
      <c r="M85" s="1">
        <f>Microelements!I86</f>
        <v>3.66</v>
      </c>
    </row>
    <row r="86" spans="1:13" x14ac:dyDescent="0.35">
      <c r="A86" s="1">
        <f>'pH &amp; EC'!A86</f>
        <v>85</v>
      </c>
      <c r="B86" s="1">
        <f>'pH &amp; EC'!B86</f>
        <v>6.63</v>
      </c>
      <c r="C86" s="1">
        <f>'pH &amp; EC'!F86</f>
        <v>0.14000000000000001</v>
      </c>
      <c r="D86" s="1">
        <f>'OC, B, S'!C87</f>
        <v>0.03</v>
      </c>
      <c r="E86" s="1">
        <f>NPK!D87</f>
        <v>188.16</v>
      </c>
      <c r="F86" s="1">
        <f>NPK!G87</f>
        <v>3.46</v>
      </c>
      <c r="G86" s="1">
        <f>NPK!J87</f>
        <v>12.32</v>
      </c>
      <c r="H86" s="1">
        <f>'OC, B, S'!J87</f>
        <v>8.1300000000000008</v>
      </c>
      <c r="I86" s="1">
        <f>Microelements!C87</f>
        <v>2.0699999999999998</v>
      </c>
      <c r="J86" s="1">
        <f>'OC, B, S'!G87</f>
        <v>1.5</v>
      </c>
      <c r="K86" s="1">
        <f>Microelements!E87</f>
        <v>8.9600000000000009</v>
      </c>
      <c r="L86" s="1">
        <f>Microelements!G87</f>
        <v>21.95</v>
      </c>
      <c r="M86" s="1">
        <f>Microelements!I87</f>
        <v>5.22</v>
      </c>
    </row>
    <row r="87" spans="1:13" x14ac:dyDescent="0.35">
      <c r="A87" s="1">
        <f>'pH &amp; EC'!A87</f>
        <v>86</v>
      </c>
      <c r="B87" s="1">
        <f>'pH &amp; EC'!B87</f>
        <v>6.86</v>
      </c>
      <c r="C87" s="1">
        <f>'pH &amp; EC'!F87</f>
        <v>0.22</v>
      </c>
      <c r="D87" s="1">
        <f>'OC, B, S'!C88</f>
        <v>0.01</v>
      </c>
      <c r="E87" s="1">
        <f>NPK!D88</f>
        <v>167.25</v>
      </c>
      <c r="F87" s="1">
        <f>NPK!G88</f>
        <v>14.24</v>
      </c>
      <c r="G87" s="1">
        <f>NPK!J88</f>
        <v>20.16</v>
      </c>
      <c r="H87" s="1">
        <f>'OC, B, S'!J88</f>
        <v>1.1299999999999999</v>
      </c>
      <c r="I87" s="1">
        <f>Microelements!C88</f>
        <v>1.62</v>
      </c>
      <c r="J87" s="1">
        <f>'OC, B, S'!G88</f>
        <v>2.48</v>
      </c>
      <c r="K87" s="1">
        <f>Microelements!E88</f>
        <v>6.35</v>
      </c>
      <c r="L87" s="1">
        <f>Microelements!G88</f>
        <v>19.670000000000002</v>
      </c>
      <c r="M87" s="1">
        <f>Microelements!I88</f>
        <v>2.84</v>
      </c>
    </row>
    <row r="88" spans="1:13" x14ac:dyDescent="0.35">
      <c r="A88" s="1">
        <f>'pH &amp; EC'!A88</f>
        <v>87</v>
      </c>
      <c r="B88" s="1">
        <f>'pH &amp; EC'!B88</f>
        <v>7.17</v>
      </c>
      <c r="C88" s="1">
        <f>'pH &amp; EC'!F88</f>
        <v>0.15</v>
      </c>
      <c r="D88" s="1">
        <f>'OC, B, S'!C89</f>
        <v>0.01</v>
      </c>
      <c r="E88" s="1">
        <f>NPK!D89</f>
        <v>229.97</v>
      </c>
      <c r="F88" s="1">
        <f>NPK!G89</f>
        <v>4.83</v>
      </c>
      <c r="G88" s="1">
        <f>NPK!J89</f>
        <v>31.36</v>
      </c>
      <c r="H88" s="1">
        <f>'OC, B, S'!J89</f>
        <v>4.38</v>
      </c>
      <c r="I88" s="1">
        <f>Microelements!C89</f>
        <v>1.49</v>
      </c>
      <c r="J88" s="1">
        <f>'OC, B, S'!G89</f>
        <v>2.8</v>
      </c>
      <c r="K88" s="1">
        <f>Microelements!E89</f>
        <v>7.26</v>
      </c>
      <c r="L88" s="1">
        <f>Microelements!G89</f>
        <v>13.08</v>
      </c>
      <c r="M88" s="1">
        <f>Microelements!I89</f>
        <v>4.68</v>
      </c>
    </row>
    <row r="89" spans="1:13" x14ac:dyDescent="0.35">
      <c r="A89" s="1">
        <f>'pH &amp; EC'!A89</f>
        <v>88</v>
      </c>
      <c r="B89" s="1">
        <f>'pH &amp; EC'!B89</f>
        <v>7.33</v>
      </c>
      <c r="C89" s="1">
        <f>'pH &amp; EC'!F89</f>
        <v>0.39</v>
      </c>
      <c r="D89" s="1">
        <f>'OC, B, S'!C90</f>
        <v>0.01</v>
      </c>
      <c r="E89" s="1">
        <f>NPK!D90</f>
        <v>188.16</v>
      </c>
      <c r="F89" s="1">
        <f>NPK!G90</f>
        <v>3.62</v>
      </c>
      <c r="G89" s="1">
        <f>NPK!J90</f>
        <v>24.64</v>
      </c>
      <c r="H89" s="1">
        <f>'OC, B, S'!J90</f>
        <v>13</v>
      </c>
      <c r="I89" s="1">
        <f>Microelements!C90</f>
        <v>1.33</v>
      </c>
      <c r="J89" s="1">
        <f>'OC, B, S'!G90</f>
        <v>2.13</v>
      </c>
      <c r="K89" s="1">
        <f>Microelements!E90</f>
        <v>7.22</v>
      </c>
      <c r="L89" s="1">
        <f>Microelements!G90</f>
        <v>13.27</v>
      </c>
      <c r="M89" s="1">
        <f>Microelements!I90</f>
        <v>2.36</v>
      </c>
    </row>
    <row r="90" spans="1:13" x14ac:dyDescent="0.35">
      <c r="A90" s="1">
        <f>'pH &amp; EC'!A90</f>
        <v>89</v>
      </c>
      <c r="B90" s="1">
        <f>'pH &amp; EC'!B90</f>
        <v>6.91</v>
      </c>
      <c r="C90" s="1">
        <f>'pH &amp; EC'!F90</f>
        <v>0.2</v>
      </c>
      <c r="D90" s="1">
        <f>'OC, B, S'!C91</f>
        <v>0.01</v>
      </c>
      <c r="E90" s="1">
        <f>NPK!D91</f>
        <v>188.16</v>
      </c>
      <c r="F90" s="1">
        <f>NPK!G91</f>
        <v>15.12</v>
      </c>
      <c r="G90" s="1">
        <f>NPK!J91</f>
        <v>38.08</v>
      </c>
      <c r="H90" s="1">
        <f>'OC, B, S'!J91</f>
        <v>8.6300000000000008</v>
      </c>
      <c r="I90" s="1">
        <f>Microelements!C91</f>
        <v>1.08</v>
      </c>
      <c r="J90" s="1">
        <f>'OC, B, S'!G91</f>
        <v>3.05</v>
      </c>
      <c r="K90" s="1">
        <f>Microelements!E91</f>
        <v>7.4</v>
      </c>
      <c r="L90" s="1">
        <f>Microelements!G91</f>
        <v>11.86</v>
      </c>
      <c r="M90" s="1">
        <f>Microelements!I91</f>
        <v>2.19</v>
      </c>
    </row>
    <row r="91" spans="1:13" x14ac:dyDescent="0.35">
      <c r="A91" s="1">
        <f>'pH &amp; EC'!A91</f>
        <v>90</v>
      </c>
      <c r="B91" s="1">
        <f>'pH &amp; EC'!B91</f>
        <v>6.81</v>
      </c>
      <c r="C91" s="1">
        <f>'pH &amp; EC'!F91</f>
        <v>0.21</v>
      </c>
      <c r="D91" s="1">
        <f>'OC, B, S'!C92</f>
        <v>0.01</v>
      </c>
      <c r="E91" s="1">
        <f>NPK!D92</f>
        <v>250.88</v>
      </c>
      <c r="F91" s="1">
        <f>NPK!G92</f>
        <v>0.75</v>
      </c>
      <c r="G91" s="1">
        <f>NPK!J92</f>
        <v>42.56</v>
      </c>
      <c r="H91" s="1">
        <f>'OC, B, S'!J92</f>
        <v>9.75</v>
      </c>
      <c r="I91" s="1">
        <f>Microelements!C92</f>
        <v>1.19</v>
      </c>
      <c r="J91" s="1">
        <f>'OC, B, S'!G92</f>
        <v>2.23</v>
      </c>
      <c r="K91" s="1">
        <f>Microelements!E92</f>
        <v>6.82</v>
      </c>
      <c r="L91" s="1">
        <f>Microelements!G92</f>
        <v>12.12</v>
      </c>
      <c r="M91" s="1">
        <f>Microelements!I92</f>
        <v>2.1800000000000002</v>
      </c>
    </row>
    <row r="92" spans="1:13" x14ac:dyDescent="0.35">
      <c r="A92" s="1">
        <f>'pH &amp; EC'!A92</f>
        <v>91</v>
      </c>
      <c r="B92" s="1">
        <f>'pH &amp; EC'!B92</f>
        <v>6.78</v>
      </c>
      <c r="C92" s="1">
        <f>'pH &amp; EC'!F92</f>
        <v>0.16</v>
      </c>
      <c r="D92" s="1">
        <f>'OC, B, S'!C93</f>
        <v>0.01</v>
      </c>
      <c r="E92" s="1">
        <f>NPK!D93</f>
        <v>250.88</v>
      </c>
      <c r="F92" s="1">
        <f>NPK!G93</f>
        <v>1.33</v>
      </c>
      <c r="G92" s="1">
        <f>NPK!J93</f>
        <v>54.88</v>
      </c>
      <c r="H92" s="1">
        <f>'OC, B, S'!J93</f>
        <v>13.5</v>
      </c>
      <c r="I92" s="1">
        <f>Microelements!C93</f>
        <v>2.6</v>
      </c>
      <c r="J92" s="1">
        <f>'OC, B, S'!G93</f>
        <v>2.0499999999999998</v>
      </c>
      <c r="K92" s="1">
        <f>Microelements!E93</f>
        <v>13.71</v>
      </c>
      <c r="L92" s="1">
        <f>Microelements!G93</f>
        <v>28.02</v>
      </c>
      <c r="M92" s="1">
        <f>Microelements!I93</f>
        <v>1.99</v>
      </c>
    </row>
    <row r="93" spans="1:13" x14ac:dyDescent="0.35">
      <c r="A93" s="1">
        <f>'pH &amp; EC'!A93</f>
        <v>92</v>
      </c>
      <c r="B93" s="1">
        <f>'pH &amp; EC'!B93</f>
        <v>6.83</v>
      </c>
      <c r="C93" s="1">
        <f>'pH &amp; EC'!F93</f>
        <v>0.16</v>
      </c>
      <c r="D93" s="1">
        <f>'OC, B, S'!C94</f>
        <v>0.01</v>
      </c>
      <c r="E93" s="1">
        <f>NPK!D94</f>
        <v>250.88</v>
      </c>
      <c r="F93" s="1">
        <f>NPK!G94</f>
        <v>6.12</v>
      </c>
      <c r="G93" s="1">
        <f>NPK!J94</f>
        <v>49.28</v>
      </c>
      <c r="H93" s="1">
        <f>'OC, B, S'!J94</f>
        <v>7.63</v>
      </c>
      <c r="I93" s="1">
        <f>Microelements!C94</f>
        <v>3.43</v>
      </c>
      <c r="J93" s="1">
        <f>'OC, B, S'!G94</f>
        <v>3.33</v>
      </c>
      <c r="K93" s="1">
        <f>Microelements!E94</f>
        <v>11.96</v>
      </c>
      <c r="L93" s="1">
        <f>Microelements!G94</f>
        <v>24.96</v>
      </c>
      <c r="M93" s="1">
        <f>Microelements!I94</f>
        <v>1.8</v>
      </c>
    </row>
    <row r="94" spans="1:13" x14ac:dyDescent="0.35">
      <c r="A94" s="1">
        <f>'pH &amp; EC'!A94</f>
        <v>93</v>
      </c>
      <c r="B94" s="1">
        <f>'pH &amp; EC'!B94</f>
        <v>6.17</v>
      </c>
      <c r="C94" s="1">
        <f>'pH &amp; EC'!F94</f>
        <v>0.13</v>
      </c>
      <c r="D94" s="1">
        <f>'OC, B, S'!C95</f>
        <v>0.01</v>
      </c>
      <c r="E94" s="1">
        <f>NPK!D95</f>
        <v>209.07</v>
      </c>
      <c r="F94" s="1">
        <f>NPK!G95</f>
        <v>6.33</v>
      </c>
      <c r="G94" s="1">
        <f>NPK!J95</f>
        <v>32.479999999999997</v>
      </c>
      <c r="H94" s="1">
        <f>'OC, B, S'!J95</f>
        <v>8.1300000000000008</v>
      </c>
      <c r="I94" s="1">
        <f>Microelements!C95</f>
        <v>1.18</v>
      </c>
      <c r="J94" s="1">
        <f>'OC, B, S'!G95</f>
        <v>2.4</v>
      </c>
      <c r="K94" s="1">
        <f>Microelements!E95</f>
        <v>10.3</v>
      </c>
      <c r="L94" s="1">
        <f>Microelements!G95</f>
        <v>22.44</v>
      </c>
      <c r="M94" s="1">
        <f>Microelements!I95</f>
        <v>1.95</v>
      </c>
    </row>
    <row r="95" spans="1:13" x14ac:dyDescent="0.35">
      <c r="A95" s="1">
        <f>'pH &amp; EC'!A95</f>
        <v>94</v>
      </c>
      <c r="B95" s="1">
        <f>'pH &amp; EC'!B95</f>
        <v>6.56</v>
      </c>
      <c r="C95" s="1">
        <f>'pH &amp; EC'!F95</f>
        <v>0.14000000000000001</v>
      </c>
      <c r="D95" s="1">
        <f>'OC, B, S'!C96</f>
        <v>0.01</v>
      </c>
      <c r="E95" s="1">
        <f>NPK!D96</f>
        <v>167.25</v>
      </c>
      <c r="F95" s="1">
        <f>NPK!G96</f>
        <v>5.25</v>
      </c>
      <c r="G95" s="1">
        <f>NPK!J96</f>
        <v>39.200000000000003</v>
      </c>
      <c r="H95" s="1">
        <f>'OC, B, S'!J96</f>
        <v>8.6300000000000008</v>
      </c>
      <c r="I95" s="1">
        <f>Microelements!C96</f>
        <v>1.27</v>
      </c>
      <c r="J95" s="1">
        <f>'OC, B, S'!G96</f>
        <v>2.13</v>
      </c>
      <c r="K95" s="1">
        <f>Microelements!E96</f>
        <v>11.03</v>
      </c>
      <c r="L95" s="1">
        <f>Microelements!G96</f>
        <v>20.29</v>
      </c>
      <c r="M95" s="1">
        <f>Microelements!I96</f>
        <v>2.0499999999999998</v>
      </c>
    </row>
    <row r="96" spans="1:13" x14ac:dyDescent="0.35">
      <c r="A96" s="1">
        <f>'pH &amp; EC'!A96</f>
        <v>95</v>
      </c>
      <c r="B96" s="1">
        <f>'pH &amp; EC'!B96</f>
        <v>6.98</v>
      </c>
      <c r="C96" s="1">
        <f>'pH &amp; EC'!F96</f>
        <v>0.13</v>
      </c>
      <c r="D96" s="1">
        <f>'OC, B, S'!C97</f>
        <v>0.01</v>
      </c>
      <c r="E96" s="1">
        <f>NPK!D97</f>
        <v>167.25</v>
      </c>
      <c r="F96" s="1">
        <f>NPK!G97</f>
        <v>13.95</v>
      </c>
      <c r="G96" s="1">
        <f>NPK!J97</f>
        <v>41.44</v>
      </c>
      <c r="H96" s="1">
        <f>'OC, B, S'!J97</f>
        <v>8.1300000000000008</v>
      </c>
      <c r="I96" s="1">
        <f>Microelements!C97</f>
        <v>0.85</v>
      </c>
      <c r="J96" s="1">
        <f>'OC, B, S'!G97</f>
        <v>3.3</v>
      </c>
      <c r="K96" s="1">
        <f>Microelements!E97</f>
        <v>10.39</v>
      </c>
      <c r="L96" s="1">
        <f>Microelements!G97</f>
        <v>17.63</v>
      </c>
      <c r="M96" s="1">
        <f>Microelements!I97</f>
        <v>1.93</v>
      </c>
    </row>
    <row r="97" spans="1:13" x14ac:dyDescent="0.35">
      <c r="A97" s="1">
        <f>'pH &amp; EC'!A97</f>
        <v>96</v>
      </c>
      <c r="B97" s="1">
        <f>'pH &amp; EC'!B97</f>
        <v>6.95</v>
      </c>
      <c r="C97" s="1">
        <f>'pH &amp; EC'!F97</f>
        <v>0.22</v>
      </c>
      <c r="D97" s="1">
        <f>'OC, B, S'!C98</f>
        <v>0.01</v>
      </c>
      <c r="E97" s="1">
        <f>NPK!D98</f>
        <v>167.25</v>
      </c>
      <c r="F97" s="1">
        <f>NPK!G98</f>
        <v>13.58</v>
      </c>
      <c r="G97" s="1">
        <f>NPK!J98</f>
        <v>21.28</v>
      </c>
      <c r="H97" s="1">
        <f>'OC, B, S'!J98</f>
        <v>7.63</v>
      </c>
      <c r="I97" s="1">
        <f>Microelements!C98</f>
        <v>0.84</v>
      </c>
      <c r="J97" s="1">
        <f>'OC, B, S'!G98</f>
        <v>2.2999999999999998</v>
      </c>
      <c r="K97" s="1">
        <f>Microelements!E98</f>
        <v>13.39</v>
      </c>
      <c r="L97" s="1">
        <f>Microelements!G98</f>
        <v>18.71</v>
      </c>
      <c r="M97" s="1">
        <f>Microelements!I98</f>
        <v>2.14</v>
      </c>
    </row>
    <row r="98" spans="1:13" x14ac:dyDescent="0.35">
      <c r="A98" s="1">
        <f>'pH &amp; EC'!A98</f>
        <v>97</v>
      </c>
      <c r="B98" s="1">
        <f>'pH &amp; EC'!B98</f>
        <v>7.36</v>
      </c>
      <c r="C98" s="1">
        <f>'pH &amp; EC'!F98</f>
        <v>0.23</v>
      </c>
      <c r="D98" s="1">
        <f>'OC, B, S'!C99</f>
        <v>0.01</v>
      </c>
      <c r="E98" s="1">
        <f>NPK!D99</f>
        <v>188.16</v>
      </c>
      <c r="F98" s="1">
        <f>NPK!G99</f>
        <v>16.62</v>
      </c>
      <c r="G98" s="1">
        <f>NPK!J99</f>
        <v>62.72</v>
      </c>
      <c r="H98" s="1">
        <f>'OC, B, S'!J99</f>
        <v>8.6300000000000008</v>
      </c>
      <c r="I98" s="1">
        <f>Microelements!C99</f>
        <v>0.61</v>
      </c>
      <c r="J98" s="1">
        <f>'OC, B, S'!G99</f>
        <v>2.63</v>
      </c>
      <c r="K98" s="1">
        <f>Microelements!E99</f>
        <v>11.99</v>
      </c>
      <c r="L98" s="1">
        <f>Microelements!G99</f>
        <v>17.86</v>
      </c>
      <c r="M98" s="1">
        <f>Microelements!I99</f>
        <v>1.76</v>
      </c>
    </row>
    <row r="99" spans="1:13" x14ac:dyDescent="0.35">
      <c r="A99" s="1">
        <f>'pH &amp; EC'!A99</f>
        <v>98</v>
      </c>
      <c r="B99" s="1">
        <f>'pH &amp; EC'!B99</f>
        <v>6.97</v>
      </c>
      <c r="C99" s="1">
        <f>'pH &amp; EC'!F99</f>
        <v>0.14000000000000001</v>
      </c>
      <c r="D99" s="1">
        <f>'OC, B, S'!C100</f>
        <v>0.01</v>
      </c>
      <c r="E99" s="1">
        <f>NPK!D100</f>
        <v>209.07</v>
      </c>
      <c r="F99" s="1">
        <f>NPK!G100</f>
        <v>3.96</v>
      </c>
      <c r="G99" s="1">
        <f>NPK!J100</f>
        <v>45.92</v>
      </c>
      <c r="H99" s="1">
        <f>'OC, B, S'!J100</f>
        <v>8.1300000000000008</v>
      </c>
      <c r="I99" s="1">
        <f>Microelements!C100</f>
        <v>0.69</v>
      </c>
      <c r="J99" s="1">
        <f>'OC, B, S'!G100</f>
        <v>2.5299999999999998</v>
      </c>
      <c r="K99" s="1">
        <f>Microelements!E100</f>
        <v>11.91</v>
      </c>
      <c r="L99" s="1">
        <f>Microelements!G100</f>
        <v>32.049999999999997</v>
      </c>
      <c r="M99" s="1">
        <f>Microelements!I100</f>
        <v>1.9</v>
      </c>
    </row>
    <row r="100" spans="1:13" x14ac:dyDescent="0.35">
      <c r="A100" s="1">
        <f>'pH &amp; EC'!A100</f>
        <v>99</v>
      </c>
      <c r="B100" s="1">
        <f>'pH &amp; EC'!B100</f>
        <v>6.63</v>
      </c>
      <c r="C100" s="1">
        <f>'pH &amp; EC'!F100</f>
        <v>0.12</v>
      </c>
      <c r="D100" s="1">
        <f>'OC, B, S'!C101</f>
        <v>0.01</v>
      </c>
      <c r="E100" s="1">
        <f>NPK!D101</f>
        <v>209.07</v>
      </c>
      <c r="F100" s="1">
        <f>NPK!G101</f>
        <v>4.41</v>
      </c>
      <c r="G100" s="1">
        <f>NPK!J101</f>
        <v>59.36</v>
      </c>
      <c r="H100" s="1">
        <f>'OC, B, S'!J101</f>
        <v>8.6300000000000008</v>
      </c>
      <c r="I100" s="1">
        <f>Microelements!C101</f>
        <v>0.47</v>
      </c>
      <c r="J100" s="1">
        <f>'OC, B, S'!G101</f>
        <v>1.85</v>
      </c>
      <c r="K100" s="1">
        <f>Microelements!E101</f>
        <v>13.01</v>
      </c>
      <c r="L100" s="1">
        <f>Microelements!G101</f>
        <v>34.81</v>
      </c>
      <c r="M100" s="1">
        <f>Microelements!I101</f>
        <v>1.89</v>
      </c>
    </row>
    <row r="101" spans="1:13" x14ac:dyDescent="0.35">
      <c r="A101" s="1">
        <f>'pH &amp; EC'!A101</f>
        <v>100</v>
      </c>
      <c r="B101" s="1">
        <f>'pH &amp; EC'!B101</f>
        <v>6.82</v>
      </c>
      <c r="C101" s="1">
        <f>'pH &amp; EC'!F101</f>
        <v>0.14000000000000001</v>
      </c>
      <c r="D101" s="1">
        <f>'OC, B, S'!C102</f>
        <v>0.01</v>
      </c>
      <c r="E101" s="1">
        <f>NPK!D102</f>
        <v>229.97</v>
      </c>
      <c r="F101" s="1">
        <f>NPK!G102</f>
        <v>2.29</v>
      </c>
      <c r="G101" s="1">
        <f>NPK!J102</f>
        <v>24.64</v>
      </c>
      <c r="H101" s="1">
        <f>'OC, B, S'!J102</f>
        <v>9.25</v>
      </c>
      <c r="I101" s="1">
        <f>Microelements!C102</f>
        <v>1.19</v>
      </c>
      <c r="J101" s="1">
        <f>'OC, B, S'!G102</f>
        <v>1.98</v>
      </c>
      <c r="K101" s="1">
        <f>Microelements!E102</f>
        <v>8.8000000000000007</v>
      </c>
      <c r="L101" s="1">
        <f>Microelements!G102</f>
        <v>25.55</v>
      </c>
      <c r="M101" s="1">
        <f>Microelements!I102</f>
        <v>1.64</v>
      </c>
    </row>
    <row r="102" spans="1:13" x14ac:dyDescent="0.35">
      <c r="A102" s="1">
        <f>'pH &amp; EC'!A102</f>
        <v>101</v>
      </c>
      <c r="B102" s="1">
        <f>'pH &amp; EC'!B102</f>
        <v>7.31</v>
      </c>
      <c r="C102" s="1">
        <f>'pH &amp; EC'!F102</f>
        <v>0.18</v>
      </c>
      <c r="D102" s="1">
        <f>'OC, B, S'!C103</f>
        <v>0.01</v>
      </c>
      <c r="E102" s="1">
        <f>NPK!D103</f>
        <v>229.97</v>
      </c>
      <c r="F102" s="1">
        <f>NPK!G103</f>
        <v>4.08</v>
      </c>
      <c r="G102" s="1">
        <f>NPK!J103</f>
        <v>36.96</v>
      </c>
      <c r="H102" s="1">
        <f>'OC, B, S'!J103</f>
        <v>9.25</v>
      </c>
      <c r="I102" s="1">
        <f>Microelements!C103</f>
        <v>1.39</v>
      </c>
      <c r="J102" s="1">
        <f>'OC, B, S'!G103</f>
        <v>2.33</v>
      </c>
      <c r="K102" s="1">
        <f>Microelements!E103</f>
        <v>11.1</v>
      </c>
      <c r="L102" s="1">
        <f>Microelements!G103</f>
        <v>32.380000000000003</v>
      </c>
      <c r="M102" s="1">
        <f>Microelements!I103</f>
        <v>1.8</v>
      </c>
    </row>
    <row r="103" spans="1:13" x14ac:dyDescent="0.35">
      <c r="A103" s="1">
        <f>'pH &amp; EC'!A103</f>
        <v>102</v>
      </c>
      <c r="B103" s="1">
        <f>'pH &amp; EC'!B103</f>
        <v>6.88</v>
      </c>
      <c r="C103" s="1">
        <f>'pH &amp; EC'!F103</f>
        <v>0.2</v>
      </c>
      <c r="D103" s="1">
        <f>'OC, B, S'!C104</f>
        <v>0.01</v>
      </c>
      <c r="E103" s="1">
        <f>NPK!D104</f>
        <v>209.07</v>
      </c>
      <c r="F103" s="1">
        <f>NPK!G104</f>
        <v>1.79</v>
      </c>
      <c r="G103" s="1">
        <f>NPK!J104</f>
        <v>57.12</v>
      </c>
      <c r="H103" s="1">
        <f>'OC, B, S'!J104</f>
        <v>10.25</v>
      </c>
      <c r="I103" s="1">
        <f>Microelements!C104</f>
        <v>1.17</v>
      </c>
      <c r="J103" s="1">
        <f>'OC, B, S'!G104</f>
        <v>2.33</v>
      </c>
      <c r="K103" s="1">
        <f>Microelements!E104</f>
        <v>9.5500000000000007</v>
      </c>
      <c r="L103" s="1">
        <f>Microelements!G104</f>
        <v>26.29</v>
      </c>
      <c r="M103" s="1">
        <f>Microelements!I104</f>
        <v>1.42</v>
      </c>
    </row>
    <row r="104" spans="1:13" x14ac:dyDescent="0.35">
      <c r="A104" s="1">
        <f>'pH &amp; EC'!A104</f>
        <v>103</v>
      </c>
      <c r="B104" s="1">
        <f>'pH &amp; EC'!B104</f>
        <v>6.75</v>
      </c>
      <c r="C104" s="1">
        <f>'pH &amp; EC'!F104</f>
        <v>0.18</v>
      </c>
      <c r="D104" s="1">
        <f>'OC, B, S'!C105</f>
        <v>0.01</v>
      </c>
      <c r="E104" s="1">
        <f>NPK!D105</f>
        <v>209.07</v>
      </c>
      <c r="F104" s="1">
        <f>NPK!G105</f>
        <v>1.04</v>
      </c>
      <c r="G104" s="1">
        <f>NPK!J105</f>
        <v>23.52</v>
      </c>
      <c r="H104" s="1">
        <f>'OC, B, S'!J105</f>
        <v>8.6300000000000008</v>
      </c>
      <c r="I104" s="1">
        <f>Microelements!C105</f>
        <v>0.96</v>
      </c>
      <c r="J104" s="1">
        <f>'OC, B, S'!G105</f>
        <v>2.0299999999999998</v>
      </c>
      <c r="K104" s="1">
        <f>Microelements!E105</f>
        <v>9.94</v>
      </c>
      <c r="L104" s="1">
        <f>Microelements!G105</f>
        <v>27.58</v>
      </c>
      <c r="M104" s="1">
        <f>Microelements!I105</f>
        <v>1.58</v>
      </c>
    </row>
    <row r="105" spans="1:13" x14ac:dyDescent="0.35">
      <c r="A105" s="1">
        <f>'pH &amp; EC'!A105</f>
        <v>104</v>
      </c>
      <c r="B105" s="1">
        <f>'pH &amp; EC'!B105</f>
        <v>9.34</v>
      </c>
      <c r="C105" s="1">
        <f>'pH &amp; EC'!F105</f>
        <v>0.38</v>
      </c>
      <c r="D105" s="1">
        <f>'OC, B, S'!C106</f>
        <v>0.01</v>
      </c>
      <c r="E105" s="1">
        <f>NPK!D106</f>
        <v>188.16</v>
      </c>
      <c r="F105" s="1">
        <f>NPK!G106</f>
        <v>15.53</v>
      </c>
      <c r="G105" s="1">
        <f>NPK!J106</f>
        <v>26.88</v>
      </c>
      <c r="H105" s="1">
        <f>'OC, B, S'!J106</f>
        <v>13</v>
      </c>
      <c r="I105" s="1">
        <f>Microelements!C106</f>
        <v>1.22</v>
      </c>
      <c r="J105" s="1">
        <f>'OC, B, S'!G106</f>
        <v>2.98</v>
      </c>
      <c r="K105" s="1">
        <f>Microelements!E106</f>
        <v>8.9499999999999993</v>
      </c>
      <c r="L105" s="1">
        <f>Microelements!G106</f>
        <v>27.06</v>
      </c>
      <c r="M105" s="1">
        <f>Microelements!I106</f>
        <v>1.68</v>
      </c>
    </row>
    <row r="106" spans="1:13" x14ac:dyDescent="0.35">
      <c r="A106" s="1">
        <f>'pH &amp; EC'!A106</f>
        <v>105</v>
      </c>
      <c r="B106" s="1">
        <f>'pH &amp; EC'!B106</f>
        <v>6.77</v>
      </c>
      <c r="C106" s="1">
        <f>'pH &amp; EC'!F106</f>
        <v>0.2</v>
      </c>
      <c r="D106" s="1">
        <f>'OC, B, S'!C107</f>
        <v>0.01</v>
      </c>
      <c r="E106" s="1">
        <f>NPK!D107</f>
        <v>229.97</v>
      </c>
      <c r="F106" s="1">
        <f>NPK!G107</f>
        <v>18.739999999999998</v>
      </c>
      <c r="G106" s="1">
        <f>NPK!J107</f>
        <v>47.04</v>
      </c>
      <c r="H106" s="1">
        <f>'OC, B, S'!J107</f>
        <v>13</v>
      </c>
      <c r="I106" s="1">
        <f>Microelements!C107</f>
        <v>1.22</v>
      </c>
      <c r="J106" s="1">
        <f>'OC, B, S'!G107</f>
        <v>1.95</v>
      </c>
      <c r="K106" s="1">
        <f>Microelements!E107</f>
        <v>9.74</v>
      </c>
      <c r="L106" s="1">
        <f>Microelements!G107</f>
        <v>27.4</v>
      </c>
      <c r="M106" s="1">
        <f>Microelements!I107</f>
        <v>1.69</v>
      </c>
    </row>
    <row r="107" spans="1:13" x14ac:dyDescent="0.35">
      <c r="A107" s="1">
        <f>'pH &amp; EC'!A107</f>
        <v>106</v>
      </c>
      <c r="B107" s="1">
        <f>'pH &amp; EC'!B107</f>
        <v>6.87</v>
      </c>
      <c r="C107" s="1">
        <f>'pH &amp; EC'!F107</f>
        <v>0.19</v>
      </c>
      <c r="D107" s="1">
        <f>'OC, B, S'!C108</f>
        <v>0.01</v>
      </c>
      <c r="E107" s="1">
        <f>NPK!D108</f>
        <v>209.07</v>
      </c>
      <c r="F107" s="1">
        <f>NPK!G108</f>
        <v>5.25</v>
      </c>
      <c r="G107" s="1">
        <f>NPK!J108</f>
        <v>36.96</v>
      </c>
      <c r="H107" s="1">
        <f>'OC, B, S'!J108</f>
        <v>11.38</v>
      </c>
      <c r="I107" s="1">
        <f>Microelements!C108</f>
        <v>1.4</v>
      </c>
      <c r="J107" s="1">
        <f>'OC, B, S'!G108</f>
        <v>1.98</v>
      </c>
      <c r="K107" s="1">
        <f>Microelements!E108</f>
        <v>9.5500000000000007</v>
      </c>
      <c r="L107" s="1">
        <f>Microelements!G108</f>
        <v>30.29</v>
      </c>
      <c r="M107" s="1">
        <f>Microelements!I108</f>
        <v>1.88</v>
      </c>
    </row>
    <row r="108" spans="1:13" x14ac:dyDescent="0.35">
      <c r="A108" s="1">
        <f>'pH &amp; EC'!A108</f>
        <v>107</v>
      </c>
      <c r="B108" s="1">
        <f>'pH &amp; EC'!B108</f>
        <v>6.84</v>
      </c>
      <c r="C108" s="1">
        <f>'pH &amp; EC'!F108</f>
        <v>0.16</v>
      </c>
      <c r="D108" s="1">
        <f>'OC, B, S'!C109</f>
        <v>0.01</v>
      </c>
      <c r="E108" s="1">
        <f>NPK!D109</f>
        <v>188.16</v>
      </c>
      <c r="F108" s="1">
        <f>NPK!G109</f>
        <v>5.62</v>
      </c>
      <c r="G108" s="1">
        <f>NPK!J109</f>
        <v>38.08</v>
      </c>
      <c r="H108" s="1">
        <f>'OC, B, S'!J109</f>
        <v>7.63</v>
      </c>
      <c r="I108" s="1">
        <f>Microelements!C109</f>
        <v>0.89</v>
      </c>
      <c r="J108" s="1">
        <f>'OC, B, S'!G109</f>
        <v>2.65</v>
      </c>
      <c r="K108" s="1">
        <f>Microelements!E109</f>
        <v>7.39</v>
      </c>
      <c r="L108" s="1">
        <f>Microelements!G109</f>
        <v>24.52</v>
      </c>
      <c r="M108" s="1">
        <f>Microelements!I109</f>
        <v>1.28</v>
      </c>
    </row>
    <row r="109" spans="1:13" x14ac:dyDescent="0.35">
      <c r="A109" s="1">
        <f>'pH &amp; EC'!A109</f>
        <v>108</v>
      </c>
      <c r="B109" s="1">
        <f>'pH &amp; EC'!B109</f>
        <v>6.86</v>
      </c>
      <c r="C109" s="1">
        <f>'pH &amp; EC'!F109</f>
        <v>0.19</v>
      </c>
      <c r="D109" s="1">
        <f>'OC, B, S'!C110</f>
        <v>0.01</v>
      </c>
      <c r="E109" s="1">
        <f>NPK!D110</f>
        <v>229.97</v>
      </c>
      <c r="F109" s="1">
        <f>NPK!G110</f>
        <v>5.37</v>
      </c>
      <c r="G109" s="1">
        <f>NPK!J110</f>
        <v>60.48</v>
      </c>
      <c r="H109" s="1">
        <f>'OC, B, S'!J110</f>
        <v>8.1300000000000008</v>
      </c>
      <c r="I109" s="1">
        <f>Microelements!C110</f>
        <v>1.0900000000000001</v>
      </c>
      <c r="J109" s="1">
        <f>'OC, B, S'!G110</f>
        <v>2.4500000000000002</v>
      </c>
      <c r="K109" s="1">
        <f>Microelements!E110</f>
        <v>8.1</v>
      </c>
      <c r="L109" s="1">
        <f>Microelements!G110</f>
        <v>26.27</v>
      </c>
      <c r="M109" s="1">
        <f>Microelements!I110</f>
        <v>1.26</v>
      </c>
    </row>
    <row r="110" spans="1:13" x14ac:dyDescent="0.35">
      <c r="A110" s="1">
        <f>'pH &amp; EC'!A110</f>
        <v>109</v>
      </c>
      <c r="B110" s="1">
        <f>'pH &amp; EC'!B110</f>
        <v>7.36</v>
      </c>
      <c r="C110" s="1">
        <f>'pH &amp; EC'!F110</f>
        <v>0.2</v>
      </c>
      <c r="D110" s="1">
        <f>'OC, B, S'!C111</f>
        <v>0.02</v>
      </c>
      <c r="E110" s="1">
        <f>NPK!D111</f>
        <v>167.25</v>
      </c>
      <c r="F110" s="1">
        <f>NPK!G111</f>
        <v>16.87</v>
      </c>
      <c r="G110" s="1">
        <f>NPK!J111</f>
        <v>61.6</v>
      </c>
      <c r="H110" s="1">
        <f>'OC, B, S'!J111</f>
        <v>6.5</v>
      </c>
      <c r="I110" s="1">
        <f>Microelements!C111</f>
        <v>1.1100000000000001</v>
      </c>
      <c r="J110" s="1">
        <f>'OC, B, S'!G111</f>
        <v>2.4</v>
      </c>
      <c r="K110" s="1">
        <f>Microelements!E111</f>
        <v>7.63</v>
      </c>
      <c r="L110" s="1">
        <f>Microelements!G111</f>
        <v>25.47</v>
      </c>
      <c r="M110" s="1">
        <f>Microelements!I111</f>
        <v>1.39</v>
      </c>
    </row>
    <row r="111" spans="1:13" x14ac:dyDescent="0.35">
      <c r="A111" s="1">
        <f>'pH &amp; EC'!A111</f>
        <v>110</v>
      </c>
      <c r="B111" s="1">
        <f>'pH &amp; EC'!B111</f>
        <v>4.09</v>
      </c>
      <c r="C111" s="1">
        <f>'pH &amp; EC'!F111</f>
        <v>0.26</v>
      </c>
      <c r="D111" s="1">
        <f>'OC, B, S'!C112</f>
        <v>0.01</v>
      </c>
      <c r="E111" s="1">
        <f>NPK!D112</f>
        <v>229.97</v>
      </c>
      <c r="F111" s="1">
        <f>NPK!G112</f>
        <v>4.33</v>
      </c>
      <c r="G111" s="1">
        <f>NPK!J112</f>
        <v>51.52</v>
      </c>
      <c r="H111" s="1">
        <f>'OC, B, S'!J112</f>
        <v>8.1300000000000008</v>
      </c>
      <c r="I111" s="1">
        <f>Microelements!C112</f>
        <v>1.28</v>
      </c>
      <c r="J111" s="1">
        <f>'OC, B, S'!G112</f>
        <v>2.2799999999999998</v>
      </c>
      <c r="K111" s="1">
        <f>Microelements!E112</f>
        <v>10.68</v>
      </c>
      <c r="L111" s="1">
        <f>Microelements!G112</f>
        <v>25.04</v>
      </c>
      <c r="M111" s="1">
        <f>Microelements!I112</f>
        <v>1.38</v>
      </c>
    </row>
    <row r="112" spans="1:13" x14ac:dyDescent="0.35">
      <c r="A112" s="1">
        <f>'pH &amp; EC'!A112</f>
        <v>111</v>
      </c>
      <c r="B112" s="1">
        <f>'pH &amp; EC'!B112</f>
        <v>7.27</v>
      </c>
      <c r="C112" s="1">
        <f>'pH &amp; EC'!F112</f>
        <v>0.25</v>
      </c>
      <c r="D112" s="1">
        <f>'OC, B, S'!C113</f>
        <v>0.01</v>
      </c>
      <c r="E112" s="1">
        <f>NPK!D113</f>
        <v>229.97</v>
      </c>
      <c r="F112" s="1">
        <f>NPK!G113</f>
        <v>4</v>
      </c>
      <c r="G112" s="1">
        <f>NPK!J113</f>
        <v>42.56</v>
      </c>
      <c r="H112" s="1">
        <f>'OC, B, S'!J113</f>
        <v>8.6300000000000008</v>
      </c>
      <c r="I112" s="1">
        <f>Microelements!C113</f>
        <v>1.1299999999999999</v>
      </c>
      <c r="J112" s="1">
        <f>'OC, B, S'!G113</f>
        <v>2.38</v>
      </c>
      <c r="K112" s="1">
        <f>Microelements!E113</f>
        <v>6.21</v>
      </c>
      <c r="L112" s="1">
        <f>Microelements!G113</f>
        <v>25.82</v>
      </c>
      <c r="M112" s="1">
        <f>Microelements!I113</f>
        <v>1.31</v>
      </c>
    </row>
    <row r="113" spans="1:13" x14ac:dyDescent="0.35">
      <c r="A113" s="1">
        <f>'pH &amp; EC'!A113</f>
        <v>112</v>
      </c>
      <c r="B113" s="1">
        <f>'pH &amp; EC'!B113</f>
        <v>7.04</v>
      </c>
      <c r="C113" s="1">
        <f>'pH &amp; EC'!F113</f>
        <v>0.17</v>
      </c>
      <c r="D113" s="1">
        <f>'OC, B, S'!C114</f>
        <v>0.01</v>
      </c>
      <c r="E113" s="1">
        <f>NPK!D114</f>
        <v>209.07</v>
      </c>
      <c r="F113" s="1">
        <f>NPK!G114</f>
        <v>3.58</v>
      </c>
      <c r="G113" s="1">
        <f>NPK!J114</f>
        <v>69.44</v>
      </c>
      <c r="H113" s="1">
        <f>'OC, B, S'!J114</f>
        <v>7.63</v>
      </c>
      <c r="I113" s="1">
        <f>Microelements!C114</f>
        <v>1.0900000000000001</v>
      </c>
      <c r="J113" s="1">
        <f>'OC, B, S'!G114</f>
        <v>2.78</v>
      </c>
      <c r="K113" s="1">
        <f>Microelements!E114</f>
        <v>7.37</v>
      </c>
      <c r="L113" s="1">
        <f>Microelements!G114</f>
        <v>25.82</v>
      </c>
      <c r="M113" s="1">
        <f>Microelements!I114</f>
        <v>1.21</v>
      </c>
    </row>
    <row r="114" spans="1:13" x14ac:dyDescent="0.35">
      <c r="A114" s="1">
        <f>'pH &amp; EC'!A114</f>
        <v>113</v>
      </c>
      <c r="B114" s="1">
        <f>'pH &amp; EC'!B114</f>
        <v>6.88</v>
      </c>
      <c r="C114" s="1">
        <f>'pH &amp; EC'!F114</f>
        <v>0.16</v>
      </c>
      <c r="D114" s="1">
        <f>'OC, B, S'!C115</f>
        <v>0.01</v>
      </c>
      <c r="E114" s="1">
        <f>NPK!D115</f>
        <v>146.35</v>
      </c>
      <c r="F114" s="1">
        <f>NPK!G115</f>
        <v>5.83</v>
      </c>
      <c r="G114" s="1">
        <f>NPK!J115</f>
        <v>21.28</v>
      </c>
      <c r="H114" s="1">
        <f>'OC, B, S'!J115</f>
        <v>8.6300000000000008</v>
      </c>
      <c r="I114" s="1">
        <f>Microelements!C115</f>
        <v>0.67</v>
      </c>
      <c r="J114" s="1">
        <f>'OC, B, S'!G115</f>
        <v>1.43</v>
      </c>
      <c r="K114" s="1">
        <f>Microelements!E115</f>
        <v>5.55</v>
      </c>
      <c r="L114" s="1">
        <f>Microelements!G115</f>
        <v>22.18</v>
      </c>
      <c r="M114" s="1">
        <f>Microelements!I115</f>
        <v>1.33</v>
      </c>
    </row>
    <row r="115" spans="1:13" x14ac:dyDescent="0.35">
      <c r="A115" s="1">
        <f>'pH &amp; EC'!A115</f>
        <v>114</v>
      </c>
      <c r="B115" s="1">
        <f>'pH &amp; EC'!B115</f>
        <v>7.01</v>
      </c>
      <c r="C115" s="1">
        <f>'pH &amp; EC'!F115</f>
        <v>0.15</v>
      </c>
      <c r="D115" s="1">
        <f>'OC, B, S'!C116</f>
        <v>0.01</v>
      </c>
      <c r="E115" s="1">
        <f>NPK!D116</f>
        <v>229.97</v>
      </c>
      <c r="F115" s="1">
        <f>NPK!G116</f>
        <v>3.5</v>
      </c>
      <c r="G115" s="1">
        <f>NPK!J116</f>
        <v>32.479999999999997</v>
      </c>
      <c r="H115" s="1">
        <f>'OC, B, S'!J116</f>
        <v>4.88</v>
      </c>
      <c r="I115" s="1">
        <f>Microelements!C116</f>
        <v>1.21</v>
      </c>
      <c r="J115" s="1">
        <f>'OC, B, S'!G116</f>
        <v>2.25</v>
      </c>
      <c r="K115" s="1">
        <f>Microelements!E116</f>
        <v>7.08</v>
      </c>
      <c r="L115" s="1">
        <f>Microelements!G116</f>
        <v>26.84</v>
      </c>
      <c r="M115" s="1">
        <f>Microelements!I116</f>
        <v>0.93</v>
      </c>
    </row>
    <row r="116" spans="1:13" x14ac:dyDescent="0.35">
      <c r="A116" s="1">
        <f>'pH &amp; EC'!A116</f>
        <v>115</v>
      </c>
      <c r="B116" s="1">
        <f>'pH &amp; EC'!B116</f>
        <v>6.54</v>
      </c>
      <c r="C116" s="1">
        <f>'pH &amp; EC'!F116</f>
        <v>0.22</v>
      </c>
      <c r="D116" s="1">
        <f>'OC, B, S'!C117</f>
        <v>0.01</v>
      </c>
      <c r="E116" s="1">
        <f>NPK!D117</f>
        <v>209.07</v>
      </c>
      <c r="F116" s="1">
        <f>NPK!G117</f>
        <v>4.04</v>
      </c>
      <c r="G116" s="1">
        <f>NPK!J117</f>
        <v>35.840000000000003</v>
      </c>
      <c r="H116" s="1">
        <f>'OC, B, S'!J117</f>
        <v>4.38</v>
      </c>
      <c r="I116" s="1">
        <f>Microelements!C117</f>
        <v>1.53</v>
      </c>
      <c r="J116" s="1">
        <f>'OC, B, S'!G117</f>
        <v>3.68</v>
      </c>
      <c r="K116" s="1">
        <f>Microelements!E117</f>
        <v>7.78</v>
      </c>
      <c r="L116" s="1">
        <f>Microelements!G117</f>
        <v>25.64</v>
      </c>
      <c r="M116" s="1">
        <f>Microelements!I117</f>
        <v>0.91</v>
      </c>
    </row>
    <row r="117" spans="1:13" x14ac:dyDescent="0.35">
      <c r="A117" s="1">
        <f>'pH &amp; EC'!A117</f>
        <v>116</v>
      </c>
      <c r="B117" s="1">
        <f>'pH &amp; EC'!B117</f>
        <v>7.43</v>
      </c>
      <c r="C117" s="1">
        <f>'pH &amp; EC'!F117</f>
        <v>0.28999999999999998</v>
      </c>
      <c r="D117" s="1">
        <f>'OC, B, S'!C118</f>
        <v>0.01</v>
      </c>
      <c r="E117" s="1">
        <f>NPK!D118</f>
        <v>209.07</v>
      </c>
      <c r="F117" s="1">
        <f>NPK!G118</f>
        <v>5.12</v>
      </c>
      <c r="G117" s="1">
        <f>NPK!J118</f>
        <v>43.68</v>
      </c>
      <c r="H117" s="1">
        <f>'OC, B, S'!J118</f>
        <v>7.63</v>
      </c>
      <c r="I117" s="1">
        <f>Microelements!C118</f>
        <v>3.7</v>
      </c>
      <c r="J117" s="1">
        <f>'OC, B, S'!G118</f>
        <v>3.03</v>
      </c>
      <c r="K117" s="1">
        <f>Microelements!E118</f>
        <v>7.33</v>
      </c>
      <c r="L117" s="1">
        <f>Microelements!G118</f>
        <v>24.35</v>
      </c>
      <c r="M117" s="1">
        <f>Microelements!I118</f>
        <v>3.16</v>
      </c>
    </row>
    <row r="118" spans="1:13" x14ac:dyDescent="0.35">
      <c r="A118" s="1">
        <f>'pH &amp; EC'!A118</f>
        <v>117</v>
      </c>
      <c r="B118" s="1">
        <f>'pH &amp; EC'!B118</f>
        <v>7.04</v>
      </c>
      <c r="C118" s="1">
        <f>'pH &amp; EC'!F118</f>
        <v>0.14000000000000001</v>
      </c>
      <c r="D118" s="1">
        <f>'OC, B, S'!C119</f>
        <v>0.01</v>
      </c>
      <c r="E118" s="1">
        <f>NPK!D119</f>
        <v>188.16</v>
      </c>
      <c r="F118" s="1">
        <f>NPK!G119</f>
        <v>5.16</v>
      </c>
      <c r="G118" s="1">
        <f>NPK!J119</f>
        <v>49.28</v>
      </c>
      <c r="H118" s="1">
        <f>'OC, B, S'!J119</f>
        <v>7.63</v>
      </c>
      <c r="I118" s="1">
        <f>Microelements!C119</f>
        <v>1.35</v>
      </c>
      <c r="J118" s="1">
        <f>'OC, B, S'!G119</f>
        <v>3.03</v>
      </c>
      <c r="K118" s="1">
        <f>Microelements!E119</f>
        <v>7.69</v>
      </c>
      <c r="L118" s="1">
        <f>Microelements!G119</f>
        <v>25.53</v>
      </c>
      <c r="M118" s="1">
        <f>Microelements!I119</f>
        <v>2.83</v>
      </c>
    </row>
    <row r="119" spans="1:13" x14ac:dyDescent="0.35">
      <c r="A119" s="1">
        <f>'pH &amp; EC'!A119</f>
        <v>118</v>
      </c>
      <c r="B119" s="1">
        <f>'pH &amp; EC'!B119</f>
        <v>7.4</v>
      </c>
      <c r="C119" s="1">
        <f>'pH &amp; EC'!F119</f>
        <v>0.3</v>
      </c>
      <c r="D119" s="1">
        <f>'OC, B, S'!C120</f>
        <v>0.01</v>
      </c>
      <c r="E119" s="1">
        <f>NPK!D120</f>
        <v>229.97</v>
      </c>
      <c r="F119" s="1">
        <f>NPK!G120</f>
        <v>6.12</v>
      </c>
      <c r="G119" s="1">
        <f>NPK!J120</f>
        <v>30.24</v>
      </c>
      <c r="H119" s="1">
        <f>'OC, B, S'!J120</f>
        <v>8.6300000000000008</v>
      </c>
      <c r="I119" s="1">
        <f>Microelements!C120</f>
        <v>1.58</v>
      </c>
      <c r="J119" s="1">
        <f>'OC, B, S'!G120</f>
        <v>2.58</v>
      </c>
      <c r="K119" s="1">
        <f>Microelements!E120</f>
        <v>6.81</v>
      </c>
      <c r="L119" s="1">
        <f>Microelements!G120</f>
        <v>23.5</v>
      </c>
      <c r="M119" s="1">
        <f>Microelements!I120</f>
        <v>2.94</v>
      </c>
    </row>
    <row r="120" spans="1:13" x14ac:dyDescent="0.35">
      <c r="A120" s="1">
        <f>'pH &amp; EC'!A120</f>
        <v>119</v>
      </c>
      <c r="B120" s="1">
        <f>'pH &amp; EC'!B120</f>
        <v>7.29</v>
      </c>
      <c r="C120" s="1">
        <f>'pH &amp; EC'!F120</f>
        <v>0.18</v>
      </c>
      <c r="D120" s="1">
        <f>'OC, B, S'!C121</f>
        <v>0.01</v>
      </c>
      <c r="E120" s="1">
        <f>NPK!D121</f>
        <v>229.97</v>
      </c>
      <c r="F120" s="1">
        <f>NPK!G121</f>
        <v>4.62</v>
      </c>
      <c r="G120" s="1">
        <f>NPK!J121</f>
        <v>34.72</v>
      </c>
      <c r="H120" s="1">
        <f>'OC, B, S'!J121</f>
        <v>10.25</v>
      </c>
      <c r="I120" s="1">
        <f>Microelements!C121</f>
        <v>1.17</v>
      </c>
      <c r="J120" s="1">
        <f>'OC, B, S'!G121</f>
        <v>1.9</v>
      </c>
      <c r="K120" s="1">
        <f>Microelements!E121</f>
        <v>6.05</v>
      </c>
      <c r="L120" s="1">
        <f>Microelements!G121</f>
        <v>23.29</v>
      </c>
      <c r="M120" s="1">
        <f>Microelements!I121</f>
        <v>3.1</v>
      </c>
    </row>
    <row r="121" spans="1:13" x14ac:dyDescent="0.35">
      <c r="A121" s="1">
        <f>'pH &amp; EC'!A121</f>
        <v>120</v>
      </c>
      <c r="B121" s="1">
        <f>'pH &amp; EC'!B121</f>
        <v>6.47</v>
      </c>
      <c r="C121" s="1">
        <f>'pH &amp; EC'!F121</f>
        <v>0.23</v>
      </c>
      <c r="D121" s="1">
        <f>'OC, B, S'!C122</f>
        <v>0.01</v>
      </c>
      <c r="E121" s="1">
        <f>NPK!D122</f>
        <v>209.07</v>
      </c>
      <c r="F121" s="1">
        <f>NPK!G122</f>
        <v>5.16</v>
      </c>
      <c r="G121" s="1">
        <f>NPK!J122</f>
        <v>43.68</v>
      </c>
      <c r="H121" s="1">
        <f>'OC, B, S'!J122</f>
        <v>11.38</v>
      </c>
      <c r="I121" s="1">
        <f>Microelements!C122</f>
        <v>1.0900000000000001</v>
      </c>
      <c r="J121" s="1">
        <f>'OC, B, S'!G122</f>
        <v>2.38</v>
      </c>
      <c r="K121" s="1">
        <f>Microelements!E122</f>
        <v>6.48</v>
      </c>
      <c r="L121" s="1">
        <f>Microelements!G122</f>
        <v>21.77</v>
      </c>
      <c r="M121" s="1">
        <f>Microelements!I122</f>
        <v>3.07</v>
      </c>
    </row>
    <row r="122" spans="1:13" x14ac:dyDescent="0.35">
      <c r="A122" s="1">
        <f>'pH &amp; EC'!A122</f>
        <v>121</v>
      </c>
      <c r="B122" s="1">
        <f>'pH &amp; EC'!B122</f>
        <v>6.69</v>
      </c>
      <c r="C122" s="1">
        <f>'pH &amp; EC'!F122</f>
        <v>0.23</v>
      </c>
      <c r="D122" s="1">
        <f>'OC, B, S'!C123</f>
        <v>0.01</v>
      </c>
      <c r="E122" s="1">
        <f>NPK!D123</f>
        <v>209.07</v>
      </c>
      <c r="F122" s="1">
        <f>NPK!G123</f>
        <v>5.5</v>
      </c>
      <c r="G122" s="1">
        <f>NPK!J123</f>
        <v>44.8</v>
      </c>
      <c r="H122" s="1">
        <f>'OC, B, S'!J123</f>
        <v>10.88</v>
      </c>
      <c r="I122" s="1">
        <f>Microelements!C123</f>
        <v>1.26</v>
      </c>
      <c r="J122" s="1">
        <f>'OC, B, S'!G123</f>
        <v>2</v>
      </c>
      <c r="K122" s="1">
        <f>Microelements!E123</f>
        <v>1.4</v>
      </c>
      <c r="L122" s="1">
        <f>Microelements!G123</f>
        <v>40.56</v>
      </c>
      <c r="M122" s="1">
        <f>Microelements!I123</f>
        <v>1.18</v>
      </c>
    </row>
    <row r="123" spans="1:13" x14ac:dyDescent="0.35">
      <c r="A123" s="1">
        <f>'pH &amp; EC'!A123</f>
        <v>122</v>
      </c>
      <c r="B123" s="1">
        <f>'pH &amp; EC'!B123</f>
        <v>7.15</v>
      </c>
      <c r="C123" s="1">
        <f>'pH &amp; EC'!F123</f>
        <v>0.19</v>
      </c>
      <c r="D123" s="1">
        <f>'OC, B, S'!C124</f>
        <v>0.01</v>
      </c>
      <c r="E123" s="1">
        <f>NPK!D124</f>
        <v>229.97</v>
      </c>
      <c r="F123" s="1">
        <f>NPK!G124</f>
        <v>4.96</v>
      </c>
      <c r="G123" s="1">
        <f>NPK!J124</f>
        <v>45.92</v>
      </c>
      <c r="H123" s="1">
        <f>'OC, B, S'!J124</f>
        <v>12.38</v>
      </c>
      <c r="I123" s="1">
        <f>Microelements!C124</f>
        <v>1.34</v>
      </c>
      <c r="J123" s="1">
        <f>'OC, B, S'!G124</f>
        <v>2.23</v>
      </c>
      <c r="K123" s="1">
        <f>Microelements!E124</f>
        <v>5.18</v>
      </c>
      <c r="L123" s="1">
        <f>Microelements!G124</f>
        <v>40.799999999999997</v>
      </c>
      <c r="M123" s="1">
        <f>Microelements!I124</f>
        <v>0.77</v>
      </c>
    </row>
    <row r="124" spans="1:13" x14ac:dyDescent="0.35">
      <c r="A124" s="1">
        <f>'pH &amp; EC'!A124</f>
        <v>123</v>
      </c>
      <c r="B124" s="1">
        <f>'pH &amp; EC'!B124</f>
        <v>6.96</v>
      </c>
      <c r="C124" s="1">
        <f>'pH &amp; EC'!F124</f>
        <v>0.16</v>
      </c>
      <c r="D124" s="1">
        <f>'OC, B, S'!C125</f>
        <v>0.02</v>
      </c>
      <c r="E124" s="1">
        <f>NPK!D125</f>
        <v>146.35</v>
      </c>
      <c r="F124" s="1">
        <f>NPK!G125</f>
        <v>11.74</v>
      </c>
      <c r="G124" s="1">
        <f>NPK!J125</f>
        <v>40.32</v>
      </c>
      <c r="H124" s="1">
        <f>'OC, B, S'!J125</f>
        <v>7.63</v>
      </c>
      <c r="I124" s="1">
        <f>Microelements!C125</f>
        <v>1.4</v>
      </c>
      <c r="J124" s="1">
        <f>'OC, B, S'!G125</f>
        <v>2.1800000000000002</v>
      </c>
      <c r="K124" s="1">
        <f>Microelements!E125</f>
        <v>3.23</v>
      </c>
      <c r="L124" s="1">
        <f>Microelements!G125</f>
        <v>41.86</v>
      </c>
      <c r="M124" s="1">
        <f>Microelements!I125</f>
        <v>0.46</v>
      </c>
    </row>
    <row r="125" spans="1:13" x14ac:dyDescent="0.35">
      <c r="A125" s="1">
        <f>'pH &amp; EC'!A125</f>
        <v>124</v>
      </c>
      <c r="B125" s="1">
        <f>'pH &amp; EC'!B125</f>
        <v>9.4600000000000009</v>
      </c>
      <c r="C125" s="1">
        <f>'pH &amp; EC'!F125</f>
        <v>0.78</v>
      </c>
      <c r="D125" s="1">
        <f>'OC, B, S'!C126</f>
        <v>0.01</v>
      </c>
      <c r="E125" s="1">
        <f>NPK!D126</f>
        <v>229.97</v>
      </c>
      <c r="F125" s="1">
        <f>NPK!G126</f>
        <v>5.54</v>
      </c>
      <c r="G125" s="1">
        <f>NPK!J126</f>
        <v>38.08</v>
      </c>
      <c r="H125" s="1">
        <f>'OC, B, S'!J126</f>
        <v>8.1300000000000008</v>
      </c>
      <c r="I125" s="1">
        <f>Microelements!C126</f>
        <v>1.62</v>
      </c>
      <c r="J125" s="1">
        <f>'OC, B, S'!G126</f>
        <v>2.23</v>
      </c>
      <c r="K125" s="1">
        <f>Microelements!E126</f>
        <v>1.21</v>
      </c>
      <c r="L125" s="1">
        <f>Microelements!G126</f>
        <v>41.44</v>
      </c>
      <c r="M125" s="1">
        <f>Microelements!I126</f>
        <v>0.51</v>
      </c>
    </row>
    <row r="126" spans="1:13" x14ac:dyDescent="0.35">
      <c r="A126" s="1">
        <f>'pH &amp; EC'!A126</f>
        <v>125</v>
      </c>
      <c r="B126" s="1">
        <f>'pH &amp; EC'!B126</f>
        <v>7.95</v>
      </c>
      <c r="C126" s="1">
        <f>'pH &amp; EC'!F126</f>
        <v>0.23</v>
      </c>
      <c r="D126" s="1">
        <f>'OC, B, S'!C127</f>
        <v>0.02</v>
      </c>
      <c r="E126" s="1">
        <f>NPK!D127</f>
        <v>209.07</v>
      </c>
      <c r="F126" s="1">
        <f>NPK!G127</f>
        <v>14.24</v>
      </c>
      <c r="G126" s="1">
        <f>NPK!J127</f>
        <v>39.200000000000003</v>
      </c>
      <c r="H126" s="1">
        <f>'OC, B, S'!J127</f>
        <v>9.75</v>
      </c>
      <c r="I126" s="1">
        <f>Microelements!C127</f>
        <v>1.46</v>
      </c>
      <c r="J126" s="1">
        <f>'OC, B, S'!G127</f>
        <v>2.2000000000000002</v>
      </c>
      <c r="K126" s="1">
        <f>Microelements!E127</f>
        <v>23.95</v>
      </c>
      <c r="L126" s="1">
        <f>Microelements!G127</f>
        <v>39.880000000000003</v>
      </c>
      <c r="M126" s="1">
        <f>Microelements!I127</f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Multiplication factors</vt:lpstr>
      <vt:lpstr>pH &amp; EC</vt:lpstr>
      <vt:lpstr>NPK</vt:lpstr>
      <vt:lpstr>OC, B, S</vt:lpstr>
      <vt:lpstr>Microelements</vt:lpstr>
      <vt:lpstr>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 Limaye</dc:creator>
  <cp:lastModifiedBy>Shirin Limaye</cp:lastModifiedBy>
  <dcterms:created xsi:type="dcterms:W3CDTF">2026-01-26T12:33:24Z</dcterms:created>
  <dcterms:modified xsi:type="dcterms:W3CDTF">2026-03-19T16:37:20Z</dcterms:modified>
</cp:coreProperties>
</file>